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README" sheetId="1" r:id="rId1"/>
    <sheet name="Dashboard" sheetId="2" r:id="rId2"/>
    <sheet name="Coverage" sheetId="3" r:id="rId3"/>
    <sheet name="Banner_Index" sheetId="4" r:id="rId4"/>
    <sheet name="Identical_Gaps" sheetId="5" r:id="rId5"/>
    <sheet name="Loblaw_Siblings" sheetId="6" r:id="rId6"/>
    <sheet name="Synchronisation" sheetId="7" r:id="rId7"/>
    <sheet name="Lead_Lag" sheetId="8" r:id="rId8"/>
    <sheet name="Freeze_Test" sheetId="9" r:id="rId9"/>
    <sheet name="Promotions" sheetId="10" r:id="rId10"/>
    <sheet name="Brand_Architecture" sheetId="11" r:id="rId11"/>
    <sheet name="Inflation" sheetId="12" r:id="rId12"/>
    <sheet name="StatCan_CPI" sheetId="13" r:id="rId13"/>
    <sheet name="KVI_Prices" sheetId="14" r:id="rId14"/>
    <sheet name="Cleaning_Log" sheetId="15" r:id="rId15"/>
  </sheets>
  <calcPr calcId="124519" fullCalcOnLoad="1"/>
</workbook>
</file>

<file path=xl/sharedStrings.xml><?xml version="1.0" encoding="utf-8"?>
<sst xmlns="http://schemas.openxmlformats.org/spreadsheetml/2006/main" count="7429" uniqueCount="840">
  <si>
    <t>Canada's Grocery Oligopoly — consumer-behaviour price analysis</t>
  </si>
  <si>
    <t>Toronto banner shelf prices (Project Hammer, Feb 2024–Oct 2026) with Statistics Canada context</t>
  </si>
  <si>
    <t>Question</t>
  </si>
  <si>
    <t>Do Canada's grocery parents compete banner-against-banner, or manage a portfolio of price tiers?</t>
  </si>
  <si>
    <t>Unit of analysis</t>
  </si>
  <si>
    <t>Banner × product × day. Identical products matched on SKU (Loblaws ↔ No Frills share one catalogue) or on UPC/GTIN across owners.</t>
  </si>
  <si>
    <t>Regular price</t>
  </si>
  <si>
    <t>The shelf price when no promotion is running; on promotion it is the struck-through 'was' price (or the single-unit price for multi-buy deals).</t>
  </si>
  <si>
    <t>Persistent change</t>
  </si>
  <si>
    <t>A regular-price change that is not reversed within 14 days (temporary cuts are excluded).</t>
  </si>
  <si>
    <t>Synchronisation lift</t>
  </si>
  <si>
    <t>Share of A's regular-price changes matched by a same-direction change at B within ±k days, divided by the same share when A's dates are shifted ±2–6 months (placebo). 1.0 = chance.</t>
  </si>
  <si>
    <t>Banner price index</t>
  </si>
  <si>
    <t>Geometric mean price of an identical basket (UPCs stocked by Loblaws, No Frills, Metro and Walmart in the same month) relative to the four-banner average = 100.</t>
  </si>
  <si>
    <t>Caveats</t>
  </si>
  <si>
    <t>Online prices for one Toronto neighbourhood; not a census of stores. No cost or volume data, so margins are not observed. Synchronised or identical prices are consistent with coordination but also with common supplier costs and manufacturer-suggested prices — this is descriptive evidence, not a finding of collusion. Save-On-Foods prices are not Toronto prices (out-of-market control).</t>
  </si>
  <si>
    <t>Sources</t>
  </si>
  <si>
    <t>Filipp, J. (2024-2026). Project Hammer: Canadian grocery price data. https://jacobfilipp.com/hammer/ (see also https://projecthammer.org/)</t>
  </si>
  <si>
    <t>Statistics Canada. Table 18-10-0245-01 Monthly average retail prices for selected products. DOI: https://doi.org/10.25318/1810024501-eng</t>
  </si>
  <si>
    <t>Statistics Canada. Table 18-10-0004-01 Consumer Price Index, monthly, not seasonally adjusted. DOI: https://doi.org/10.25318/1810000401-eng</t>
  </si>
  <si>
    <t>Sheets</t>
  </si>
  <si>
    <t>Dashboard</t>
  </si>
  <si>
    <t>Headline KPIs (live formulas referencing the analysis sheets).</t>
  </si>
  <si>
    <t>Coverage</t>
  </si>
  <si>
    <t>What the cleaned panel contains, by banner.</t>
  </si>
  <si>
    <t>Banner_Index</t>
  </si>
  <si>
    <t>Monthly identical-basket price index; summary via AVERAGEIFS; line chart.</t>
  </si>
  <si>
    <t>Identical_Gaps</t>
  </si>
  <si>
    <t>Same item, same day, across banner pairs.</t>
  </si>
  <si>
    <t>Loblaw_Siblings</t>
  </si>
  <si>
    <t>Loblaws vs No Frills monthly premium on identical SKUs; by category &amp; brand type.</t>
  </si>
  <si>
    <t>Synchronisation</t>
  </si>
  <si>
    <t>Timing of regular-price changes vs placebo, by pair; lift = observed / placebo (formula).</t>
  </si>
  <si>
    <t>Lead_Lag</t>
  </si>
  <si>
    <t>Who changes first, and how often rivals land on the identical new price.</t>
  </si>
  <si>
    <t>Freeze_Test</t>
  </si>
  <si>
    <t>Weekly increase rates; Nov 1–Feb 5 window vs rest via SUMIFS.</t>
  </si>
  <si>
    <t>Promotions</t>
  </si>
  <si>
    <t>Promotion frequency, depth and co-timing.</t>
  </si>
  <si>
    <t>Brand_Architecture</t>
  </si>
  <si>
    <t>Private-label share of assortment and of promotion-days.</t>
  </si>
  <si>
    <t>Inflation</t>
  </si>
  <si>
    <t>Banner matched-model indices vs StatCan CPI (food purchased from stores).</t>
  </si>
  <si>
    <t>StatCan_CPI</t>
  </si>
  <si>
    <t>CPI series, Canada / Ontario, 2018+.</t>
  </si>
  <si>
    <t>KVI_Prices</t>
  </si>
  <si>
    <t>Entry price for 10 staples by banner vs StatCan Ontario average retail price.</t>
  </si>
  <si>
    <t>Cleaning_Log</t>
  </si>
  <si>
    <t>Row counts at every cleaning step.</t>
  </si>
  <si>
    <t>Panel coverage by banner</t>
  </si>
  <si>
    <t>Cleaned Project Hammer data; Sobeys (4 days) excluded</t>
  </si>
  <si>
    <t>banner</t>
  </si>
  <si>
    <t>parent</t>
  </si>
  <si>
    <t>role</t>
  </si>
  <si>
    <t>products</t>
  </si>
  <si>
    <t>product_days</t>
  </si>
  <si>
    <t>days</t>
  </si>
  <si>
    <t>first_day</t>
  </si>
  <si>
    <t>last_day</t>
  </si>
  <si>
    <t>promo_share</t>
  </si>
  <si>
    <t>products_with_gtin</t>
  </si>
  <si>
    <t>Loblaws</t>
  </si>
  <si>
    <t>Loblaw</t>
  </si>
  <si>
    <t>Conventional / premium-leaning</t>
  </si>
  <si>
    <t>2024-02-28</t>
  </si>
  <si>
    <t>2026-10-12</t>
  </si>
  <si>
    <t>No Frills</t>
  </si>
  <si>
    <t>Hard discount</t>
  </si>
  <si>
    <t>T&amp;T</t>
  </si>
  <si>
    <t>Specialty (Asian)</t>
  </si>
  <si>
    <t>Voilà</t>
  </si>
  <si>
    <t>Empire (Sobeys)</t>
  </si>
  <si>
    <t>Online conventional</t>
  </si>
  <si>
    <t>Metro</t>
  </si>
  <si>
    <t>Metro Inc.</t>
  </si>
  <si>
    <t>Conventional</t>
  </si>
  <si>
    <t>Walmart</t>
  </si>
  <si>
    <t>Walmart Canada</t>
  </si>
  <si>
    <t>Mass discount (EDLP)</t>
  </si>
  <si>
    <t>2024-03-04</t>
  </si>
  <si>
    <t>Galleria</t>
  </si>
  <si>
    <t>Independent</t>
  </si>
  <si>
    <t>Specialty (Korean)</t>
  </si>
  <si>
    <t>Save-On-Foods</t>
  </si>
  <si>
    <t>Pattison Food Group</t>
  </si>
  <si>
    <t>Conventional (Western, out-of-market control)</t>
  </si>
  <si>
    <t>2024-09-28</t>
  </si>
  <si>
    <t>Identical-basket price index by banner (4-banner average = 100)</t>
  </si>
  <si>
    <t>UPCs stocked by all of Loblaws, No Frills, Metro and Walmart in the month</t>
  </si>
  <si>
    <t>month</t>
  </si>
  <si>
    <t>basket_items</t>
  </si>
  <si>
    <t>regular_index</t>
  </si>
  <si>
    <t>shelf_index</t>
  </si>
  <si>
    <t>shelf_vs_regular_base</t>
  </si>
  <si>
    <t>Banner</t>
  </si>
  <si>
    <t>Avg regular index (Aug 2024+)</t>
  </si>
  <si>
    <t>Avg shelf index on regular base</t>
  </si>
  <si>
    <t>Realised promo discount</t>
  </si>
  <si>
    <t>Chart data (regular index, pivoted)</t>
  </si>
  <si>
    <t>Same product, same day: price gaps across banner pairs</t>
  </si>
  <si>
    <t>Median of each product's daily log price ratio, then summarised across products</t>
  </si>
  <si>
    <t>banner_a</t>
  </si>
  <si>
    <t>banner_b</t>
  </si>
  <si>
    <t>match</t>
  </si>
  <si>
    <t>group</t>
  </si>
  <si>
    <t>matched_products</t>
  </si>
  <si>
    <t>matched_product_days</t>
  </si>
  <si>
    <t>median_regular_premium_a_vs_b</t>
  </si>
  <si>
    <t>mean_regular_premium_a_vs_b</t>
  </si>
  <si>
    <t>median_shelf_premium_a_vs_b</t>
  </si>
  <si>
    <t>share_items_a_dearer</t>
  </si>
  <si>
    <t>share_items_identical</t>
  </si>
  <si>
    <t>share_items_a_cheaper</t>
  </si>
  <si>
    <t>share_days_identical_regular</t>
  </si>
  <si>
    <t>sku</t>
  </si>
  <si>
    <t>Same parent (Loblaw)</t>
  </si>
  <si>
    <t>gtin</t>
  </si>
  <si>
    <t>Rival parents, Toronto</t>
  </si>
  <si>
    <t>Out-of-market control</t>
  </si>
  <si>
    <t>Independent specialty</t>
  </si>
  <si>
    <t>Inside one portfolio: Loblaws vs No Frills on identical SKUs</t>
  </si>
  <si>
    <t>Median regular-price premium by month, and by category and brand type</t>
  </si>
  <si>
    <t>matched_items</t>
  </si>
  <si>
    <t>median_premium</t>
  </si>
  <si>
    <t>share_identical_price</t>
  </si>
  <si>
    <t>category</t>
  </si>
  <si>
    <t>private_label</t>
  </si>
  <si>
    <t>median_regular_premium</t>
  </si>
  <si>
    <t>Bakery</t>
  </si>
  <si>
    <t>Beverages</t>
  </si>
  <si>
    <t>Dairy &amp; eggs</t>
  </si>
  <si>
    <t>Frozen</t>
  </si>
  <si>
    <t>Household &amp; personal care</t>
  </si>
  <si>
    <t>Meat &amp; seafood</t>
  </si>
  <si>
    <t>Other</t>
  </si>
  <si>
    <t>Pantry</t>
  </si>
  <si>
    <t>Produce</t>
  </si>
  <si>
    <t>Snacks &amp; confectionery</t>
  </si>
  <si>
    <t>Do regular-price changes coincide more than chance?</t>
  </si>
  <si>
    <t>Observed = share of A's persistent changes matched by B (same direction) within ±k days; placebo shifts dates ±2–6 months</t>
  </si>
  <si>
    <t>pair_group</t>
  </si>
  <si>
    <t>events_a</t>
  </si>
  <si>
    <t>observed_0d</t>
  </si>
  <si>
    <t>placebo_0d</t>
  </si>
  <si>
    <t>observed_1d</t>
  </si>
  <si>
    <t>placebo_1d</t>
  </si>
  <si>
    <t>observed_3d</t>
  </si>
  <si>
    <t>placebo_3d</t>
  </si>
  <si>
    <t>observed_7d</t>
  </si>
  <si>
    <t>placebo_7d</t>
  </si>
  <si>
    <t>lift_0d</t>
  </si>
  <si>
    <t>lift_1d</t>
  </si>
  <si>
    <t>lift_3d</t>
  </si>
  <si>
    <t>lift_7d</t>
  </si>
  <si>
    <t>Who moves first, and do rivals land on the same price?</t>
  </si>
  <si>
    <t>Nearest same-direction persistent change at the other banner within ±14 days</t>
  </si>
  <si>
    <t>paired_changes</t>
  </si>
  <si>
    <t>share_same_day</t>
  </si>
  <si>
    <t>share_a_first</t>
  </si>
  <si>
    <t>share_b_first</t>
  </si>
  <si>
    <t>median_abs_lag_days</t>
  </si>
  <si>
    <t>share_new_price_identical</t>
  </si>
  <si>
    <t>Is there a Nov 1–Feb 5 price freeze?</t>
  </si>
  <si>
    <t>Persistent regular-price increases per 1,000 active products per week; window flag on the week midpoint</t>
  </si>
  <si>
    <t>week</t>
  </si>
  <si>
    <t>freeze_window</t>
  </si>
  <si>
    <t>active</t>
  </si>
  <si>
    <t>ups</t>
  </si>
  <si>
    <t>downs</t>
  </si>
  <si>
    <t>ups_per_1000</t>
  </si>
  <si>
    <t>downs_per_1000</t>
  </si>
  <si>
    <t>Increases /1,000 in window</t>
  </si>
  <si>
    <t>Increases /1,000 outside</t>
  </si>
  <si>
    <t>Ratio in / out</t>
  </si>
  <si>
    <t>Mann-Whitney p (weekly rates)</t>
  </si>
  <si>
    <t>By brand type</t>
  </si>
  <si>
    <t>brand_type</t>
  </si>
  <si>
    <t>ups_per_1000_out_window</t>
  </si>
  <si>
    <t>downs_per_1000_out_window</t>
  </si>
  <si>
    <t>weeks_out_window</t>
  </si>
  <si>
    <t>ups_per_1000_in_window</t>
  </si>
  <si>
    <t>downs_per_1000_in_window</t>
  </si>
  <si>
    <t>weeks_in_window</t>
  </si>
  <si>
    <t>increase_rate_ratio_in_vs_out</t>
  </si>
  <si>
    <t>National brand</t>
  </si>
  <si>
    <t>Private label</t>
  </si>
  <si>
    <t>Promotion strategy by banner</t>
  </si>
  <si>
    <t>Share of product-days on promotion, depth, and co-timing across banners</t>
  </si>
  <si>
    <t>median_depth</t>
  </si>
  <si>
    <t>mean_depth</t>
  </si>
  <si>
    <t>share_deep_25pct</t>
  </si>
  <si>
    <t>multibuy_share_of_promos</t>
  </si>
  <si>
    <t>matched_days</t>
  </si>
  <si>
    <t>p_b_promo</t>
  </si>
  <si>
    <t>p_b_promo_given_a_promo</t>
  </si>
  <si>
    <t>promo_cotiming_lift</t>
  </si>
  <si>
    <t>Private label as a steering tool</t>
  </si>
  <si>
    <t>Store-brand share of assortment and of promotion-days (categorised food &amp; household items)</t>
  </si>
  <si>
    <t>pl_products</t>
  </si>
  <si>
    <t>promo_days</t>
  </si>
  <si>
    <t>pl_promo_days</t>
  </si>
  <si>
    <t>PL share of assortment</t>
  </si>
  <si>
    <t>PL share of promo-days</t>
  </si>
  <si>
    <t>Banner shelf-price inflation vs official CPI (Aug 2024 = 100)</t>
  </si>
  <si>
    <t>Chained matched-model index of regular prices vs StatCan CPI, food purchased from stores</t>
  </si>
  <si>
    <t>CPI food from stores — Ontario</t>
  </si>
  <si>
    <t>CPI food from stores — Canada</t>
  </si>
  <si>
    <t>Statistics Canada CPI (Table 18-10-0004-01)</t>
  </si>
  <si>
    <t>Not seasonally adjusted, 2002 = 100; yoy = 12-month change</t>
  </si>
  <si>
    <t>geo</t>
  </si>
  <si>
    <t>product</t>
  </si>
  <si>
    <t>value</t>
  </si>
  <si>
    <t>yoy</t>
  </si>
  <si>
    <t>Ontario</t>
  </si>
  <si>
    <t>Food purchased from stores</t>
  </si>
  <si>
    <t>Toronto, Ontario</t>
  </si>
  <si>
    <t>All-items</t>
  </si>
  <si>
    <t>Fresh fruit and vegetables</t>
  </si>
  <si>
    <t>Bakery and cereal products (excluding baby food)</t>
  </si>
  <si>
    <t>Meat</t>
  </si>
  <si>
    <t>Dairy products and eggs</t>
  </si>
  <si>
    <t>Canada</t>
  </si>
  <si>
    <t>Cumulative change since Jan 2020 (Canada)</t>
  </si>
  <si>
    <t>jan2020</t>
  </si>
  <si>
    <t>latest_month</t>
  </si>
  <si>
    <t>latest</t>
  </si>
  <si>
    <t>cum_change_since_jan2020</t>
  </si>
  <si>
    <t>2026-08</t>
  </si>
  <si>
    <t>Entry price points on 10 staples vs StatCan average retail price</t>
  </si>
  <si>
    <t>Median daily lowest shelf price among matching items, Mar–Aug 2026; StatCan Table 18-10-0245-01</t>
  </si>
  <si>
    <t>kvi</t>
  </si>
  <si>
    <t>statcan_ontario_avg</t>
  </si>
  <si>
    <t>statcan_canada_avg</t>
  </si>
  <si>
    <t>Butter, 454 grams</t>
  </si>
  <si>
    <t>Canola oil, 3 litres</t>
  </si>
  <si>
    <t>Eggs, 1 dozen</t>
  </si>
  <si>
    <t>Ketchup, 1 litre</t>
  </si>
  <si>
    <t>Milk, 2 litres</t>
  </si>
  <si>
    <t>Milk, 4 litres</t>
  </si>
  <si>
    <t>Peanut butter, 1 kilogram</t>
  </si>
  <si>
    <t>Wheat flour, 2.5 kilograms</t>
  </si>
  <si>
    <t>White bread, 675 grams</t>
  </si>
  <si>
    <t>White sugar, 2 kilograms</t>
  </si>
  <si>
    <t>No Frills vs ON avg</t>
  </si>
  <si>
    <t>Loblaws vs ON avg</t>
  </si>
  <si>
    <t>Metro vs ON avg</t>
  </si>
  <si>
    <t>Walmart vs ON avg</t>
  </si>
  <si>
    <t>Items matched to each staple (for audit)</t>
  </si>
  <si>
    <t>vendor</t>
  </si>
  <si>
    <t>product_name</t>
  </si>
  <si>
    <t>units</t>
  </si>
  <si>
    <t>brand</t>
  </si>
  <si>
    <t>GAYLEA BUTTER SALTED</t>
  </si>
  <si>
    <t>454G</t>
  </si>
  <si>
    <t>LACTCANTA SALTED BUTTER STICK</t>
  </si>
  <si>
    <t>GAY LEA SALTED BUTTER STICKS</t>
  </si>
  <si>
    <t>LACTANTIA BUTTER SALTED</t>
  </si>
  <si>
    <t>Salted Butter , With Sea Salt, Sticks</t>
  </si>
  <si>
    <t>454g</t>
  </si>
  <si>
    <t>Lactantia</t>
  </si>
  <si>
    <t>Butter</t>
  </si>
  <si>
    <t>Kawartha</t>
  </si>
  <si>
    <t>Salted Butter</t>
  </si>
  <si>
    <t>Gay Lea</t>
  </si>
  <si>
    <t>Chef's Signature with 8% Clarified Butter, Salted</t>
  </si>
  <si>
    <t>Becel</t>
  </si>
  <si>
    <t>No Name</t>
  </si>
  <si>
    <t>Butter Sticks, Salted</t>
  </si>
  <si>
    <t>Salted Butter Sticks with Sea Salt - 4 sticks</t>
  </si>
  <si>
    <t>Country Churned Salted Butter</t>
  </si>
  <si>
    <t>President's Choice</t>
  </si>
  <si>
    <t>GAY LEA</t>
  </si>
  <si>
    <t>Salted Butter Sticks, Country Churned</t>
  </si>
  <si>
    <t>LACTANTIA</t>
  </si>
  <si>
    <t>Half-Salted Butter</t>
  </si>
  <si>
    <t>Selection</t>
  </si>
  <si>
    <t>SELECTION</t>
  </si>
  <si>
    <t>Salted Butter Sticks</t>
  </si>
  <si>
    <t>NoFrills</t>
  </si>
  <si>
    <t>Butter Sticks</t>
  </si>
  <si>
    <t>Earth Balance</t>
  </si>
  <si>
    <t>Mac N' Cheese Butter Chicken</t>
  </si>
  <si>
    <t>Delcato</t>
  </si>
  <si>
    <t>SaveOnFoods</t>
  </si>
  <si>
    <t>Butter Salted, 454 Gram</t>
  </si>
  <si>
    <t>Organic Meadow</t>
  </si>
  <si>
    <t>Salted Butter, 454 Gram</t>
  </si>
  <si>
    <t>Overwaitea</t>
  </si>
  <si>
    <t>Salted Creamery Butter, 454 Gram</t>
  </si>
  <si>
    <t>Western Family</t>
  </si>
  <si>
    <t>Salted Butter Sticks, 454 Gram</t>
  </si>
  <si>
    <t>Creamery Salted Butter, 454 Gram</t>
  </si>
  <si>
    <t>Fraser Valley</t>
  </si>
  <si>
    <t>Bake Shop - Country Butter Bread, 454 Gram</t>
  </si>
  <si>
    <t>Creamery Butter Salted, 454 Gram</t>
  </si>
  <si>
    <t>Dairyland</t>
  </si>
  <si>
    <t>TandT</t>
  </si>
  <si>
    <t>Lactantia Salted Butter Sticks</t>
  </si>
  <si>
    <t>Gaylea Butter Quarters</t>
  </si>
  <si>
    <t>Neilson Salted Butter</t>
  </si>
  <si>
    <t>Gaylea Butter Salted</t>
  </si>
  <si>
    <t>Voila</t>
  </si>
  <si>
    <t>Butter Stick Salted 454 g</t>
  </si>
  <si>
    <t>Compliments</t>
  </si>
  <si>
    <t>Compliments Salted Butter 454 g</t>
  </si>
  <si>
    <t>Salted Butter 454 g</t>
  </si>
  <si>
    <t>Butter Salted 454 g</t>
  </si>
  <si>
    <t>Becel Chef's Signature Butter Salted 454 g</t>
  </si>
  <si>
    <t>Gay Lea Butter Stick Salted 454 g</t>
  </si>
  <si>
    <t>Chagnon Churned 84% Butter Salted 454 g</t>
  </si>
  <si>
    <t>Compliments Butter Stick Salted 454 g</t>
  </si>
  <si>
    <t>Gay Lea Butter Salted 454 g</t>
  </si>
  <si>
    <t>Salted Butter, 454g</t>
  </si>
  <si>
    <t>Scotsburn</t>
  </si>
  <si>
    <t>Half-Salted Butter, 454 g</t>
  </si>
  <si>
    <t>Natrel</t>
  </si>
  <si>
    <t>Great Value Salted Churned Butter Sticks, 4 Sticks, 454 g</t>
  </si>
  <si>
    <t>Salted Butter, 454 g</t>
  </si>
  <si>
    <t>Baxter</t>
  </si>
  <si>
    <t>Gay Lea Salted Butter Convenient Sticks, 454 g</t>
  </si>
  <si>
    <t>Great Value Salted Butter, 454 g</t>
  </si>
  <si>
    <t>100% Pure Canola Oil</t>
  </si>
  <si>
    <t>3l</t>
  </si>
  <si>
    <t>Canola Oil</t>
  </si>
  <si>
    <t>Saporito</t>
  </si>
  <si>
    <t>Canola Oil, Value Pack</t>
  </si>
  <si>
    <t>SAPORITO</t>
  </si>
  <si>
    <t>T&amp;T Canola Oil</t>
  </si>
  <si>
    <t>Saporito Canola Oil</t>
  </si>
  <si>
    <t>No Name Canola Oil</t>
  </si>
  <si>
    <t>Voil Cholesterol-Free Canola Oil 3 L</t>
  </si>
  <si>
    <t>Longo's Essentials 100% Pure Canola Oil 3 L</t>
  </si>
  <si>
    <t>Compliments Canola Oil Pure 3 L</t>
  </si>
  <si>
    <t>Farm Boy Cooking Oil Canola 3 L</t>
  </si>
  <si>
    <t>Pasture-Raised Eggs, Extra Large</t>
  </si>
  <si>
    <t>12ea</t>
  </si>
  <si>
    <t>Alderwood Farms</t>
  </si>
  <si>
    <t>Grade A Extra Large Eggs</t>
  </si>
  <si>
    <t>Super Bon-Ee Grade A Double Yolk White Eggs</t>
  </si>
  <si>
    <t>Burnbrae Farms</t>
  </si>
  <si>
    <t>Grade A Large Brown Eggs</t>
  </si>
  <si>
    <t>Super Bon-Ee Grade A White Eggs, Super Extra Large</t>
  </si>
  <si>
    <t>12 eggs</t>
  </si>
  <si>
    <t>Large Grade A Eggs</t>
  </si>
  <si>
    <t>Nature's Best White Eggs, Large</t>
  </si>
  <si>
    <t>Pasture-Raised Eggs</t>
  </si>
  <si>
    <t>Medium Grade A White Eggs</t>
  </si>
  <si>
    <t>Naturegg Nest Laid White Eggs, Large</t>
  </si>
  <si>
    <t>Extra Large Brown Eggs</t>
  </si>
  <si>
    <t>12un</t>
  </si>
  <si>
    <t>GRAY RIDGE EGG FARMS</t>
  </si>
  <si>
    <t>Large Eggs</t>
  </si>
  <si>
    <t>Large Eggs, Nestlaid</t>
  </si>
  <si>
    <t>Extra-Large White Eggs</t>
  </si>
  <si>
    <t>Large White Eggs</t>
  </si>
  <si>
    <t>Gray Ridge</t>
  </si>
  <si>
    <t>Large Brown Eggs</t>
  </si>
  <si>
    <t>Large Eggs, Premium Brand</t>
  </si>
  <si>
    <t>Jumbo Eggs, Super 747s</t>
  </si>
  <si>
    <t>Medium Eggs</t>
  </si>
  <si>
    <t>Nature'S Best™ Large Eggs, Naturegg</t>
  </si>
  <si>
    <t>Extra Large Brown Eggs, Super Bon-EE</t>
  </si>
  <si>
    <t>Medium White Eggs</t>
  </si>
  <si>
    <t>Extra Large Double Eggs, Super Bon-EE</t>
  </si>
  <si>
    <t>Extra Large Eggs</t>
  </si>
  <si>
    <t>Enriched Coop Large White Eggs</t>
  </si>
  <si>
    <t>Gold Egg</t>
  </si>
  <si>
    <t>Medium Eggs, Naturegg</t>
  </si>
  <si>
    <t>Grade A Eggs, Super Extra-Large</t>
  </si>
  <si>
    <t>Grade A Brown Eggs, Extra Large</t>
  </si>
  <si>
    <t>Grade A Brown Eggs, Large</t>
  </si>
  <si>
    <t>Grade A Premium White Eggs, Large</t>
  </si>
  <si>
    <t>WF Large Brown Eggs, 12 Each</t>
  </si>
  <si>
    <t>12 each</t>
  </si>
  <si>
    <t>Brown Eggs, 12 Each</t>
  </si>
  <si>
    <t>Canadian Harvest</t>
  </si>
  <si>
    <t>WF Large White Eggs, 12 Each</t>
  </si>
  <si>
    <t>Jumbo Eggs White, 12 Each</t>
  </si>
  <si>
    <t>Golden Valley</t>
  </si>
  <si>
    <t>WF Medium White Eggs, 12 Each</t>
  </si>
  <si>
    <t>WF Extra Large White Eggs, 12 Each</t>
  </si>
  <si>
    <t>Burnbrae Farms Large Brown Eggs</t>
  </si>
  <si>
    <t>12pcs</t>
  </si>
  <si>
    <t>Burnbrae Farms Large White Eggs</t>
  </si>
  <si>
    <t>Burnbrae Farms Nature's Best Eggs</t>
  </si>
  <si>
    <t>Burnbrae Farms Super Bon-ee Jumbo Brown Eggs</t>
  </si>
  <si>
    <t>Burnbrae Farms Super Bon-ee Extra Large White Eggs</t>
  </si>
  <si>
    <t>Longo's White Eggs Enriched Coop Large 12 Count</t>
  </si>
  <si>
    <t>12 per pack</t>
  </si>
  <si>
    <t>747 Brand Eggs Grade A Jumbo 12 Count</t>
  </si>
  <si>
    <t>Gray Ridge Egg Farms</t>
  </si>
  <si>
    <t>White Eggs Large 12 Count</t>
  </si>
  <si>
    <t>Brown Eggs Enriched Coop Large 12 Count</t>
  </si>
  <si>
    <t>Longo's</t>
  </si>
  <si>
    <t>Gray Ridge Egg Farms Brown Eggs Grade A Extra Large 12 Count</t>
  </si>
  <si>
    <t>Burnbrae Farms Eggs Hard Boiled 12 Count</t>
  </si>
  <si>
    <t>Gray Ridge Brown Eggs Grade A Large 12 Count</t>
  </si>
  <si>
    <t>Longo's Brown Eggs Enriched Coop Large 12 Count</t>
  </si>
  <si>
    <t>Gray Ridge White Eggs Grade A Extra Large 12 Count</t>
  </si>
  <si>
    <t>Gray Ridge Premium White Eggs Grade A Large 12 Count</t>
  </si>
  <si>
    <t>Gray Ridge White Eggs Grade A Large 12 Count</t>
  </si>
  <si>
    <t>Brown Eggs Grade A Extra Large 12 Count</t>
  </si>
  <si>
    <t>Gray Ridge Egg Farms 747 Brand Eggs Grade A Jumbo 12 Count</t>
  </si>
  <si>
    <t>Gold Egg White Eggs Enriched Coop Large 12 Count</t>
  </si>
  <si>
    <t>White Eggs Enriched Coop Large 12 Count</t>
  </si>
  <si>
    <t>Compliments White Eggs Large 12 Count</t>
  </si>
  <si>
    <t>Large Brown Eggs, 12 Count</t>
  </si>
  <si>
    <t>12 count</t>
  </si>
  <si>
    <t>Sparks</t>
  </si>
  <si>
    <t>Newfoundland Eggs Extra Large Brown Eggs, 12 Extra Large Eggs</t>
  </si>
  <si>
    <t>12 extra large eggs</t>
  </si>
  <si>
    <t>NL Eggs</t>
  </si>
  <si>
    <t>Golden Valley Large Brown Eggs, 12 count</t>
  </si>
  <si>
    <t>Golden Valley Natural</t>
  </si>
  <si>
    <t>Great Value XL White Eggs, 12 Count</t>
  </si>
  <si>
    <t>Nova Large Brown Eggs, 12 Count</t>
  </si>
  <si>
    <t>NOVA</t>
  </si>
  <si>
    <t>Countryside Farms</t>
  </si>
  <si>
    <t>Gray Ridge Large White Eggs, 12 Count</t>
  </si>
  <si>
    <t>Daybreak Farms</t>
  </si>
  <si>
    <t>Large Brown Eggs, 12 count</t>
  </si>
  <si>
    <t>Nutri</t>
  </si>
  <si>
    <t>Newfoundland Eggs Large White Eggs, 12 Large Eggs</t>
  </si>
  <si>
    <t>12 large eggs</t>
  </si>
  <si>
    <t>Extra Large White Eggs, 12 count</t>
  </si>
  <si>
    <t>Richard</t>
  </si>
  <si>
    <t>Large Brown Eggs, 12 eggs / carton</t>
  </si>
  <si>
    <t>12 eggs / carton</t>
  </si>
  <si>
    <t>Great Value Large Eggs, 12 Count</t>
  </si>
  <si>
    <t>Newfoundland Eggs Large Brown Eggs, 12 Large Eggs</t>
  </si>
  <si>
    <t>NL MED WHT 12, 12 Medium Eggs</t>
  </si>
  <si>
    <t>12 medium eggs</t>
  </si>
  <si>
    <t>Gray Ridge Super 747 Jumbo Eggs, 12 Count</t>
  </si>
  <si>
    <t>HEINZ KETCHUP SQUEEZE</t>
  </si>
  <si>
    <t>1L</t>
  </si>
  <si>
    <t>100% Canadian Tomato Ketchup</t>
  </si>
  <si>
    <t>1l</t>
  </si>
  <si>
    <t>Frenchs</t>
  </si>
  <si>
    <t>Tomato Ketchup</t>
  </si>
  <si>
    <t>Heinz</t>
  </si>
  <si>
    <t>FRENCH'S</t>
  </si>
  <si>
    <t>HEINZ</t>
  </si>
  <si>
    <t>Heinz Ketchup</t>
  </si>
  <si>
    <t>Heinz Tomato Ketchup 1 L</t>
  </si>
  <si>
    <t>Compliments Tomato Ketchup 1 L</t>
  </si>
  <si>
    <t>French's Squeezed Tomato Ketchup 1 L</t>
  </si>
  <si>
    <t>Great Value Tomato Ketchup, 1 L</t>
  </si>
  <si>
    <t>Heinz Tomato Ketchup, Prepared in Canada, 1 L Bottle, 1L</t>
  </si>
  <si>
    <t>French's, 100% Canadian Tomato Ketchup, 1L</t>
  </si>
  <si>
    <t>NATREL FINEFILTRE 2% MILK</t>
  </si>
  <si>
    <t>2L</t>
  </si>
  <si>
    <t>SEALTEST HOMO MILK</t>
  </si>
  <si>
    <t>SEALTEST 2% MILK</t>
  </si>
  <si>
    <t>NATREL FINEFILTRE 3.25% HOMO MILK</t>
  </si>
  <si>
    <t>LACTANTIA PURFILTRE 3.25% MILK</t>
  </si>
  <si>
    <t>Milk, Homogenized</t>
  </si>
  <si>
    <t>2l</t>
  </si>
  <si>
    <t>0% Skim Milk</t>
  </si>
  <si>
    <t>Neilson</t>
  </si>
  <si>
    <t>Milk, 1%</t>
  </si>
  <si>
    <t>0% Microfiltered Milk</t>
  </si>
  <si>
    <t>3.25% M.F. Homogenized Milk</t>
  </si>
  <si>
    <t>The A2 Milk Company</t>
  </si>
  <si>
    <t>Milk, 2%</t>
  </si>
  <si>
    <t>2% Microfiltered Milk</t>
  </si>
  <si>
    <t>3.25% Microfiltered Milk</t>
  </si>
  <si>
    <t>PūrFiltre Milk 2% Partly Skimmed</t>
  </si>
  <si>
    <t>1% Microfiltered Milk</t>
  </si>
  <si>
    <t>2% M.F. Partly Skimmed Milk</t>
  </si>
  <si>
    <t>Grass Fed 3.8% Milk</t>
  </si>
  <si>
    <t>Rolling Meadow</t>
  </si>
  <si>
    <t>PūrFiltre Milk 3.25% Homogenized</t>
  </si>
  <si>
    <t>1% Milk</t>
  </si>
  <si>
    <t>Purfiltre Partially Skimmed Milk 1%</t>
  </si>
  <si>
    <t>Grass Fed 2% Milk</t>
  </si>
  <si>
    <t>3.8% Milk</t>
  </si>
  <si>
    <t>1% M.F. Partly Skimmed Milk</t>
  </si>
  <si>
    <t>2% Milk</t>
  </si>
  <si>
    <t>3.25% Homogenized Milk</t>
  </si>
  <si>
    <t>MEHADRIN</t>
  </si>
  <si>
    <t>3.25% Milk</t>
  </si>
  <si>
    <t>3.25% Milk, PurFiltre</t>
  </si>
  <si>
    <t>Partly Skimmed 2% Milk</t>
  </si>
  <si>
    <t>A2 MILK</t>
  </si>
  <si>
    <t>BEATRICE</t>
  </si>
  <si>
    <t>1% Milk, PurFiltre</t>
  </si>
  <si>
    <t>3.8% Whole Milk</t>
  </si>
  <si>
    <t>Nutrinor</t>
  </si>
  <si>
    <t>Skim Milk</t>
  </si>
  <si>
    <t>Québon</t>
  </si>
  <si>
    <t>ROLLING MEADOW</t>
  </si>
  <si>
    <t>Partly Skimmed 1% Milk</t>
  </si>
  <si>
    <t>0% Skim Milk, PurFiltre</t>
  </si>
  <si>
    <t>Homogenized 3.25% Milk</t>
  </si>
  <si>
    <t>2% Milk, PurFiltre</t>
  </si>
  <si>
    <t>Nature's Best, Skim Milk</t>
  </si>
  <si>
    <t>Neilson 2% Partly Skimmed Milk</t>
  </si>
  <si>
    <t>Neilson Trutaste 1% Microfiltered Partly Skimmed Milk</t>
  </si>
  <si>
    <t>Neilson Trutaste Microfiltered Skim Milk</t>
  </si>
  <si>
    <t>Neilson Trutaste Microfiltered 2% Partly Skimmed Milk</t>
  </si>
  <si>
    <t>Neilson Trutaste Microfiltered 3.25% Homogenized Milk</t>
  </si>
  <si>
    <t>Neilson 3.25% Fresh Homo Milk</t>
  </si>
  <si>
    <t>Natrel  0% Milk Skim 2 L</t>
  </si>
  <si>
    <t>Sealtest 2% Milk Partly Skimmed 2 L</t>
  </si>
  <si>
    <t>Natrel 3.25% Milk Homogenized 2 L</t>
  </si>
  <si>
    <t>Sealtest 1% Milk Partly Skimmed 2 L</t>
  </si>
  <si>
    <t>Sealtest 3.25% Milk Homogenized 2 L</t>
  </si>
  <si>
    <t>Natrel 2% Milk Partly Skimmed 2 L</t>
  </si>
  <si>
    <t>Rolling Meadow Dairy 1% Grass Fed Milk Partly Skimmed 2 L</t>
  </si>
  <si>
    <t>Sealtest 0%  Milk Skim 2 L</t>
  </si>
  <si>
    <t>Rolling Meadow Dairy Grass Fed 3.8% Milk 2 L</t>
  </si>
  <si>
    <t>Rolling Meadow Dairy 2% Grass Fed Milk Partly Skimmed 2 L</t>
  </si>
  <si>
    <t>Natrel 1% Milk Partly Skimmed 2 L</t>
  </si>
  <si>
    <t>Reid's Dairy - 3.25% M.F. Homogenized Milk, 2 L</t>
  </si>
  <si>
    <t>REID'S DAIRY</t>
  </si>
  <si>
    <t>Natrel Fine-filtered 0% Fat Free Skim Milk, 2 L</t>
  </si>
  <si>
    <t>Skim Milk, 2L</t>
  </si>
  <si>
    <t>1% Partly Skimmed Milk, 2L</t>
  </si>
  <si>
    <t>Natrel Plus Vanilla Milk, 2 L</t>
  </si>
  <si>
    <t>Skim 0% Milk, 2 L</t>
  </si>
  <si>
    <t>Farmers</t>
  </si>
  <si>
    <t>2% Milk, 2 L</t>
  </si>
  <si>
    <t>Island Farms</t>
  </si>
  <si>
    <t>Partly Skimmed 1% Milk, 2 L</t>
  </si>
  <si>
    <t>Central Dairies</t>
  </si>
  <si>
    <t>Natrel Plus 3.25% Protein milk, 2 L</t>
  </si>
  <si>
    <t>3.25% M.F. Milk, 2L Carton, 2 L</t>
  </si>
  <si>
    <t>Reid's Dairy - 2% M.F. Partly Skimmed Milk, 2 L</t>
  </si>
  <si>
    <t>Purfiltre 2% Milk, 2 L</t>
  </si>
  <si>
    <t>Homogenized 3.25% Milk, 2 L</t>
  </si>
  <si>
    <t>1% Milk, 2 L</t>
  </si>
  <si>
    <t>3.25% Milk, 2L</t>
  </si>
  <si>
    <t>Partly Skimmed 2% Milk, 2 L</t>
  </si>
  <si>
    <t>Northumberland</t>
  </si>
  <si>
    <t>1% Milk, 2L</t>
  </si>
  <si>
    <t>Sealtest Skim 0% Milk, 2 L</t>
  </si>
  <si>
    <t>PurFiltre Partially Skimmed Milk, 1%, 2L</t>
  </si>
  <si>
    <t>Sealtest Partly Skimmed 2% Milk, 2 L</t>
  </si>
  <si>
    <t>Skim Milk, 2L Carton, 2 L</t>
  </si>
  <si>
    <t>Natrel Fine-filtered 1% Milk, 2 L</t>
  </si>
  <si>
    <t>Natrel Plus 2% Milk, 2 L</t>
  </si>
  <si>
    <t>Natrel Fine-filtered 3.25% Homogenized Milk, 2 L</t>
  </si>
  <si>
    <t>1% M.F. Milk, 2L carton, 2 L</t>
  </si>
  <si>
    <t>2% Partly Skimmed Milk, 2L</t>
  </si>
  <si>
    <t>Natrel Fine-filtered 2% Milk, 2 L</t>
  </si>
  <si>
    <t>Sealtest Homogenized 3.25% Milk, 2 L</t>
  </si>
  <si>
    <t>3.25% Milk, 2 L</t>
  </si>
  <si>
    <t>3.25% Homogenized Milk, 2L</t>
  </si>
  <si>
    <t>2% Milk, 2L</t>
  </si>
  <si>
    <t>Sealtest Partly Skimmed 1% Milk, 2 L</t>
  </si>
  <si>
    <t>4L</t>
  </si>
  <si>
    <t>LACTANTIA PURFILTRE ORG 2% MILK</t>
  </si>
  <si>
    <t>NATREL 2% MILK</t>
  </si>
  <si>
    <t>LACTANTIA PURFILTRE HOMO MILK</t>
  </si>
  <si>
    <t>Ice Milk Neapolitan Club Pack</t>
  </si>
  <si>
    <t>4l</t>
  </si>
  <si>
    <t>Vanilla Ice Milk</t>
  </si>
  <si>
    <t>Milk Product 6% M.F.</t>
  </si>
  <si>
    <t>Whole Milk 3.8% M.F.</t>
  </si>
  <si>
    <t>Ice Milk Neapolitan Club Size</t>
  </si>
  <si>
    <t>Homogenized Milk</t>
  </si>
  <si>
    <t>Caramel Ice Milk Club Size</t>
  </si>
  <si>
    <t>Butterscotch Ripple Ice Milk</t>
  </si>
  <si>
    <t>Grass Fed Milk 2%</t>
  </si>
  <si>
    <t>1% Milk, Fine-Filtered</t>
  </si>
  <si>
    <t>NATREL</t>
  </si>
  <si>
    <t>Butterscotch Ripple Ice Milk, Value Pack</t>
  </si>
  <si>
    <t>Vanilla Ice Milk, Value Pack</t>
  </si>
  <si>
    <t>6% Milk With Cream</t>
  </si>
  <si>
    <t>KHAAS</t>
  </si>
  <si>
    <t>0% Skim Milk, Fine-Filtered</t>
  </si>
  <si>
    <t>2% Milk, Fine-Filtered</t>
  </si>
  <si>
    <t>Neapolitan Ice Milk, Value Pack</t>
  </si>
  <si>
    <t>3.25% Milk, Fine-Filtered</t>
  </si>
  <si>
    <t>Partly Skimmed Milk 2% M.F.</t>
  </si>
  <si>
    <t>Neilson Trutaste 1% Microfiltered Partly Skimmed Milk - Bags</t>
  </si>
  <si>
    <t>Neilson 3.25% Homogenized Milk -  Sac</t>
  </si>
  <si>
    <t>Neilson 1% Partly Skimmed Milk - Bag</t>
  </si>
  <si>
    <t>Neilson Trutaste Microfiltered Skim Milk - Bags</t>
  </si>
  <si>
    <t>Neilson Trutaste Microfiltered 2% Partly Skimmed Milk - Sac</t>
  </si>
  <si>
    <t>Neilson Fresh Skim Milk - Bags</t>
  </si>
  <si>
    <t>Neilson Trutaste Microfiltered 3.25% Homogenized Milk - Sac</t>
  </si>
  <si>
    <t>Neilson 2% Partly Skimmed Milk - Sac</t>
  </si>
  <si>
    <t>Best Buy Ice Milk Neapolitan 4 L</t>
  </si>
  <si>
    <t>Best Buy Ice Milk Butterscotch Ripple 4 L</t>
  </si>
  <si>
    <t>Sealtest Fat-Free 0% Skim Milk 4 L</t>
  </si>
  <si>
    <t>Natrel 3.25% Milk Homogenized Fine-Filtered 4 L</t>
  </si>
  <si>
    <t>Sealtest 6% Milk 4 L</t>
  </si>
  <si>
    <t>Sealtest 2% Milk Partly Skimmed 4 L</t>
  </si>
  <si>
    <t>Best Buy Ice Milk Vanilla 4 L</t>
  </si>
  <si>
    <t>Sealtest 3.25% Milk Homogenized  4 L</t>
  </si>
  <si>
    <t>Natrel Milk 0% Skimmed 4 L</t>
  </si>
  <si>
    <t>Sealtest 1% Milk Partly Skimmed 4 L</t>
  </si>
  <si>
    <t>Natrel 1% Milk Partly Skimmed 4 L</t>
  </si>
  <si>
    <t>Natrel  2% Milk  Partly Skimmed 4 L</t>
  </si>
  <si>
    <t>3.25 % Homogenized Milk, 4L</t>
  </si>
  <si>
    <t>Nutrilait</t>
  </si>
  <si>
    <t>2% Partly Skimmed Milk, 4L</t>
  </si>
  <si>
    <t>2 % Partly Skimmed Milk, 4L</t>
  </si>
  <si>
    <t>Skim 0% Milk, 4 L</t>
  </si>
  <si>
    <t>Natrel Fine-filtered 3.25% Homogenized Milk, 4 L</t>
  </si>
  <si>
    <t>3.25% Homogenized Milk, 4L</t>
  </si>
  <si>
    <t>3.25% Milk, 4 L</t>
  </si>
  <si>
    <t>1% Partly Skimmed Milk, 4L</t>
  </si>
  <si>
    <t>Great Value Neapolitan Ice Milk, 4L</t>
  </si>
  <si>
    <t>1 % Partly Skimmed Milk, 4L</t>
  </si>
  <si>
    <t>Skim Milk, 4L</t>
  </si>
  <si>
    <t>Partly Skimmed 1% Milk, 4 L</t>
  </si>
  <si>
    <t>PurFiltre Partially Skimmed Milk, 1%, 4L</t>
  </si>
  <si>
    <t>Natrel Fine-filtered 1% Milk, 4 L</t>
  </si>
  <si>
    <t>Great Value Vanilla Ice Milk, 4L</t>
  </si>
  <si>
    <t>2% Milk, 4L</t>
  </si>
  <si>
    <t>1% Partly skimmed milk, 4 L</t>
  </si>
  <si>
    <t>Natrel Fine-filtered 2 %  Milk, 4 L</t>
  </si>
  <si>
    <t>Natrel Fine-filtered 0% Fat Free Skim Milk, 4 L</t>
  </si>
  <si>
    <t>Partly Skimmed 2% Milk, 4 L</t>
  </si>
  <si>
    <t>JIF PEANUT BUTTER CRUNCHY</t>
  </si>
  <si>
    <t>1KG</t>
  </si>
  <si>
    <t>Extra Roasted Flavour Peanut Butter</t>
  </si>
  <si>
    <t>1kg</t>
  </si>
  <si>
    <t>Kraft</t>
  </si>
  <si>
    <t>Crunchy Peanut Butter</t>
  </si>
  <si>
    <t>Light Creamy Peanut Butter</t>
  </si>
  <si>
    <t>Jif</t>
  </si>
  <si>
    <t>Peanut Butter Smooth</t>
  </si>
  <si>
    <t>Planters</t>
  </si>
  <si>
    <t>100% Natural Crunchy Peanut Butter</t>
  </si>
  <si>
    <t>Adams</t>
  </si>
  <si>
    <t>Creamy Peanut Butter</t>
  </si>
  <si>
    <t>Smooth Light Peanut Butter</t>
  </si>
  <si>
    <t>Extra Creamy Peanut Butter</t>
  </si>
  <si>
    <t>Dark Roast Creamy Peanut Butter Spread</t>
  </si>
  <si>
    <t>Smooth Peanut Butter</t>
  </si>
  <si>
    <t>100% Natural Creamy Peanut Butter</t>
  </si>
  <si>
    <t>Dark Roast Peanut Butter</t>
  </si>
  <si>
    <t>JIF</t>
  </si>
  <si>
    <t>KRAFT</t>
  </si>
  <si>
    <t>Creamy Light Peanut Butter With 25% Less Fat</t>
  </si>
  <si>
    <t>Reduced Fat Light Creamy Peanut Butter</t>
  </si>
  <si>
    <t>Dark Roast Creamy Peanut Butter</t>
  </si>
  <si>
    <t>Light Smooth Peanut Butter</t>
  </si>
  <si>
    <t>Kraft Crunchy Peanut Butter</t>
  </si>
  <si>
    <t>Compliments Smooth Light Peanut Butter 1 kg</t>
  </si>
  <si>
    <t>Jif Gluten-Free Peanut Butter Light Creamy 1 kg</t>
  </si>
  <si>
    <t>Jif Crunchy Peanut Butter 1 kg</t>
  </si>
  <si>
    <t>Longo's Peanut Butter Crunchy 1 kg</t>
  </si>
  <si>
    <t>JIF Creamy Peanut Butter 1 kg</t>
  </si>
  <si>
    <t>Compliments Smooth Peanut Butter 1 kg</t>
  </si>
  <si>
    <t>Jif Peanut Butter Dark Roast Creamy 1 kg</t>
  </si>
  <si>
    <t>Adams Regular Creamy Peanut Butter 1 kg</t>
  </si>
  <si>
    <t>Compliments Smooth Peanut Butter Dark Roast 1 kg</t>
  </si>
  <si>
    <t>Adams Regular Crunchy Peanut Butter 1 kg</t>
  </si>
  <si>
    <t>Kraft Smooth Peanut Butter 1 kg</t>
  </si>
  <si>
    <t>Kraft Peanut Butter Extra Roasted 1 kg</t>
  </si>
  <si>
    <t>Kraft Peanut Butter Crunchy 1 kg</t>
  </si>
  <si>
    <t>Compliments Naturally Simple 100% Natural Smooth Peanut Butter 1 kg</t>
  </si>
  <si>
    <t>Kraft Peanut Butter Smooth 1 kg</t>
  </si>
  <si>
    <t>Longo's Peanut Butter Smooth 1 kg</t>
  </si>
  <si>
    <t>Compliments Peanut Butter Crunchy 1 kg</t>
  </si>
  <si>
    <t>Kraft Peanut Butter Extra Creamy 1 kg</t>
  </si>
  <si>
    <t>Kraft Smooth Peanut Butter, 1kg</t>
  </si>
  <si>
    <t>Crunchy Peanut Butter 1kg, 1kg</t>
  </si>
  <si>
    <t>Extra Creamy Peanut Butter, 1kg</t>
  </si>
  <si>
    <t>Great Value Crunchy Peanut Butter, 1 kg</t>
  </si>
  <si>
    <t>Light Smooth Peanut Butter, 1 kg</t>
  </si>
  <si>
    <t>Great Value</t>
  </si>
  <si>
    <t>Kraft Crunchy Peanut Butter, 1kg</t>
  </si>
  <si>
    <t>Light Creamy Peanut Butter 1kg, 1 kg</t>
  </si>
  <si>
    <t>Great Value Smooth Peanut Butter, 1 kg</t>
  </si>
  <si>
    <t>Extra Roasted Peanut Butter, 1kg, 1kg</t>
  </si>
  <si>
    <t>Creamy Peanut Butter 1kg, 1 kg</t>
  </si>
  <si>
    <t>FIVE ROSE FLOUR ALL PURPOSE</t>
  </si>
  <si>
    <t>2.5KG</t>
  </si>
  <si>
    <t>ROBINHOOD FLOUR ALL PURPOSE</t>
  </si>
  <si>
    <t>All Purpose Unbleached Flour</t>
  </si>
  <si>
    <t>2.5kg</t>
  </si>
  <si>
    <t>Never Bleached All Purpose Flour</t>
  </si>
  <si>
    <t>Five Roses</t>
  </si>
  <si>
    <t>White All Purpose Flour</t>
  </si>
  <si>
    <t>Original All Purpose Flour</t>
  </si>
  <si>
    <t>Robin Hood</t>
  </si>
  <si>
    <t>Unbleached All-Purpose Flour</t>
  </si>
  <si>
    <t>All-Purpose Flour</t>
  </si>
  <si>
    <t>All Purpose White Flour</t>
  </si>
  <si>
    <t>FIVE ROSES</t>
  </si>
  <si>
    <t>All Purpose Flour</t>
  </si>
  <si>
    <t>ROBIN HOOD</t>
  </si>
  <si>
    <t>Never Bleached All-Purpose Flour</t>
  </si>
  <si>
    <t>All-Purpose White Flour</t>
  </si>
  <si>
    <t>Unbleached All Purpose Flour</t>
  </si>
  <si>
    <t>Robin Hood All-Purpose Flour</t>
  </si>
  <si>
    <t>No Name All-Purpose Flour</t>
  </si>
  <si>
    <t>Farm Boy Flour All Purpose 2.5 kg</t>
  </si>
  <si>
    <t>Robin Hood Flour All Purpose Original 2.5 kg</t>
  </si>
  <si>
    <t>Five Roses All Purpose Flour White 2.5 kg</t>
  </si>
  <si>
    <t>Compliments All Purpose Flour 2.5 kg</t>
  </si>
  <si>
    <t>Compliments All-Purpose Flour Unbleached 2.5 kg</t>
  </si>
  <si>
    <t>Five Roses All Purpose Flour Never Bleached 2.5 kg</t>
  </si>
  <si>
    <t>Longo's All Purpose Flour 2.5 kg</t>
  </si>
  <si>
    <t>Robin Hood All Purpose Flour Unbleached 2.5 kg</t>
  </si>
  <si>
    <t>Great Value Unbleached All Purpose Flour, 2.5 kg</t>
  </si>
  <si>
    <t>Robin Hood Unbleached All Purpose Flour, Made with 100% Canadian Wheat, 2.5kg, 2.5 Kg</t>
  </si>
  <si>
    <t>Great Value Original All-Purpose Flour, 2.5 kg</t>
  </si>
  <si>
    <t>Five Roses All Purpose Flour, White, 2.5kg, 2.5 kg</t>
  </si>
  <si>
    <t>Robin Hood Original All Purpose Flour, Made with 100% Canadian Wheat, 2.5kg, 2.5 Kg</t>
  </si>
  <si>
    <t>WONDER CLASSIC WHITE BREAD</t>
  </si>
  <si>
    <t>675G</t>
  </si>
  <si>
    <t>Classico White Bread Italian Style Thick Slice</t>
  </si>
  <si>
    <t>675g</t>
  </si>
  <si>
    <t>Villaggio</t>
  </si>
  <si>
    <t>Classico Italian Style Thick Slice White Bread</t>
  </si>
  <si>
    <t>White Bread</t>
  </si>
  <si>
    <t>Wonder</t>
  </si>
  <si>
    <t>Homestyle White Bread</t>
  </si>
  <si>
    <t>Farmhouse</t>
  </si>
  <si>
    <t>Texas Toast White Bread</t>
  </si>
  <si>
    <t>Thick Slice Original White Bread</t>
  </si>
  <si>
    <t>D'Italiano</t>
  </si>
  <si>
    <t>White Thin Sandwich Bread</t>
  </si>
  <si>
    <t>Dempster</t>
  </si>
  <si>
    <t>THIN Sandwich White Bread</t>
  </si>
  <si>
    <t>White Bread with added Oat Hull Fibre</t>
  </si>
  <si>
    <t>Homestyle White Bread Baked In Store</t>
  </si>
  <si>
    <t>Sliced White Sandwich Bread</t>
  </si>
  <si>
    <t>White Sandwich Bread Baked In Store</t>
  </si>
  <si>
    <t>White Texas Toast Thick Sliced Bread</t>
  </si>
  <si>
    <t>WONDER</t>
  </si>
  <si>
    <t>Ultra Soft Sliced White Bread</t>
  </si>
  <si>
    <t>Pom</t>
  </si>
  <si>
    <t>Sliced White Bread Combo</t>
  </si>
  <si>
    <t>Home Style</t>
  </si>
  <si>
    <t>Texas Toast-Style Sliced White Bread</t>
  </si>
  <si>
    <t>DEMPSTER'S</t>
  </si>
  <si>
    <t>Thick-Sliced White Bread With Added Oat Hull Fibre, ...</t>
  </si>
  <si>
    <t>Gadoua</t>
  </si>
  <si>
    <t>White Bread, Baked In Store</t>
  </si>
  <si>
    <t>Homestyle</t>
  </si>
  <si>
    <t>White Sliced Bread</t>
  </si>
  <si>
    <t>No Sugar Added Thick-Sliced White Bread, Moelleux</t>
  </si>
  <si>
    <t>Thick-Sliced White Long Bread, Moelleux</t>
  </si>
  <si>
    <t>Sliced White Bread, Soft</t>
  </si>
  <si>
    <t>Sliced White Bread</t>
  </si>
  <si>
    <t>Homestyle White Sandwich Bread, Baked In Store</t>
  </si>
  <si>
    <t>Thick-Sliced White Bread, Moelleux</t>
  </si>
  <si>
    <t>Thick-Sliced White Bread With Sesame Seeds, Italian-Style</t>
  </si>
  <si>
    <t>VILLAGGIO</t>
  </si>
  <si>
    <t>Ultra Soft Sliced White Bread, Long</t>
  </si>
  <si>
    <t>Thin Sliced White Sandwich Bread</t>
  </si>
  <si>
    <t>Thick-Sliced White Bread, Classico</t>
  </si>
  <si>
    <t>Homestyle Thick-Sliced White Bread, Moelleux</t>
  </si>
  <si>
    <t>White Sandwich Sliced Bread, Baked In Store</t>
  </si>
  <si>
    <t>Homemade Sliced White Bread</t>
  </si>
  <si>
    <t>Sliced Homestyle White Bread Baked In Store</t>
  </si>
  <si>
    <t>Harvest Gold</t>
  </si>
  <si>
    <t>Farmhouse White Bread Fresh, 675 Gram</t>
  </si>
  <si>
    <t>Country Harvest</t>
  </si>
  <si>
    <t>Thick Slice Original White Bread, 675 Gram</t>
  </si>
  <si>
    <t>Wonder Sandwich White Thin Bread</t>
  </si>
  <si>
    <t>Wonder White Bread</t>
  </si>
  <si>
    <t>Dempster’s Bread White 675 g</t>
  </si>
  <si>
    <t>Dempster's Enriched White Bread 675 g</t>
  </si>
  <si>
    <t>Enriched White Bread 675 g</t>
  </si>
  <si>
    <t>Dempster's</t>
  </si>
  <si>
    <t>Dempster’s Sandwich Bread White Thin 675 g</t>
  </si>
  <si>
    <t>Villaggio White Bread Classico Italian Style Thick Slice 675 g</t>
  </si>
  <si>
    <t>Villaggio White Bread Sesame Thick Slice Italian Style 675 g</t>
  </si>
  <si>
    <t>White Bread Classico Italian Style Thick Slice 675 g</t>
  </si>
  <si>
    <t>Compliments Bread White 675 g</t>
  </si>
  <si>
    <t>Dempster’s Thin Sandwich White Bread 675 g</t>
  </si>
  <si>
    <t>Bread White 675 g</t>
  </si>
  <si>
    <t>Dempster’s White Sandwich Bread Texas Toast 675 g</t>
  </si>
  <si>
    <t>White Bread Sesame Thick Slice Italian Style 675 g</t>
  </si>
  <si>
    <t>Dempster’s Sandwich Bread Texas Toast White 675 g</t>
  </si>
  <si>
    <t>Dempster’s® White Thin Sandwich Bread, 675 g</t>
  </si>
  <si>
    <t>Ménage White Bread, 675 g</t>
  </si>
  <si>
    <t>White Texas Toast Bread, 675 g</t>
  </si>
  <si>
    <t>Wonder White + Fiber Sliced Bread, 675 g</t>
  </si>
  <si>
    <t>POM® Ultra Soft Superclub Sandwich White Sliced Bread, 675 g</t>
  </si>
  <si>
    <t>POM</t>
  </si>
  <si>
    <t>Villaggio® Sesame Italian Style White Thick Sliced Bread, 675 g</t>
  </si>
  <si>
    <t>POM®  White Bread, 675 g</t>
  </si>
  <si>
    <t>Auger White Homestyle Bread, 675 g</t>
  </si>
  <si>
    <t>Betty Bread</t>
  </si>
  <si>
    <t>Great Value White Bread, 675 g</t>
  </si>
  <si>
    <t>Wonder White Sliced Bread, 675 g</t>
  </si>
  <si>
    <t>Dempster’s® White Sliced Bread, 675 g</t>
  </si>
  <si>
    <t>Dempster’s® Texas Toast White Sandwich Bread, 675 g</t>
  </si>
  <si>
    <t>Homestyle White Bread, 675 g</t>
  </si>
  <si>
    <t>White Thin Sandwich Bread, 675 g</t>
  </si>
  <si>
    <t>Dempster’s® White Thin Sandwich Sliced Bread, 675 g</t>
  </si>
  <si>
    <t>Villaggio®  Sesame Italian Style White  Thick Sliced Bread, 675 g</t>
  </si>
  <si>
    <t>D'Italiano® D'italiano Original White Bread, 675 g</t>
  </si>
  <si>
    <t>Thick Slice Original White Bread, 675 g</t>
  </si>
  <si>
    <t>D'Italiano®</t>
  </si>
  <si>
    <t>Villaggio® Classico Italian Style White Thick Sliced Bread, 675 g</t>
  </si>
  <si>
    <t>LANTIC GRANULATED SUGAR</t>
  </si>
  <si>
    <t>2KG</t>
  </si>
  <si>
    <t>Granulated Sugar</t>
  </si>
  <si>
    <t>2kg</t>
  </si>
  <si>
    <t>Lantic</t>
  </si>
  <si>
    <t>Natural Granulated Sugar</t>
  </si>
  <si>
    <t>MITR PHOL</t>
  </si>
  <si>
    <t>Special Fine Granulated Sugar</t>
  </si>
  <si>
    <t>REDPATH</t>
  </si>
  <si>
    <t>Granulated White Sugar</t>
  </si>
  <si>
    <t>Rogers</t>
  </si>
  <si>
    <t>Lantic Granulated Sugar</t>
  </si>
  <si>
    <t>Lantic Granulated White Sugar 2 kg</t>
  </si>
  <si>
    <t>Redpath Special Fine Granulated Sugar, 2 kg</t>
  </si>
  <si>
    <t>Data cleaning log</t>
  </si>
  <si>
    <t>Row counts after each step of src/build_panel.py</t>
  </si>
  <si>
    <t>step</t>
  </si>
  <si>
    <t>table</t>
  </si>
  <si>
    <t>rows</t>
  </si>
  <si>
    <t>1. raw products loaded</t>
  </si>
  <si>
    <t>raw_product</t>
  </si>
  <si>
    <t>1. raw price observations loaded</t>
  </si>
  <si>
    <t>raw_price</t>
  </si>
  <si>
    <t>2. product dimension (excl. Sobeys)</t>
  </si>
  <si>
    <t>product_dim</t>
  </si>
  <si>
    <t>3. observations joined to products</t>
  </si>
  <si>
    <t>obs</t>
  </si>
  <si>
    <t>3a. drop unparseable date/price</t>
  </si>
  <si>
    <t>3b. drop prices outside $0.10-$1,000</t>
  </si>
  <si>
    <t>3c. cents-scaled prices repaired</t>
  </si>
  <si>
    <t>3d. text-only deals converted to effective unit price</t>
  </si>
  <si>
    <t>4. collapsed to product-day panel</t>
  </si>
  <si>
    <t>daily</t>
  </si>
  <si>
    <t>5. regular-price change events (all)</t>
  </si>
  <si>
    <t>events</t>
  </si>
  <si>
    <t>5a. persistent regular-price changes</t>
  </si>
  <si>
    <t>Headline findings</t>
  </si>
  <si>
    <t>Each figure is a live formula pointing at the analysis sheets</t>
  </si>
  <si>
    <t>Median premium for the identical SKU under the Loblaws banner vs No Frills (same parent, same day).</t>
  </si>
  <si>
    <t>Share of matched item-days on which rival conventional banners Loblaws and Metro charge the identical regular price.</t>
  </si>
  <si>
    <t>…versus Loblaws and Walmart — conventional and discount tiers almost never share a price point.</t>
  </si>
  <si>
    <t>Index-point gap between the dearest (Metro) and a discount banner (No Frills) on an identical basket.</t>
  </si>
  <si>
    <t>Synchronisation lift (±1 day) of regular-price changes inside the Loblaw portfolio.</t>
  </si>
  <si>
    <t>Same measure across rival owners (Loblaws → Metro): indistinguishable from chance.</t>
  </si>
  <si>
    <t>Loblaws' rate of price increases inside vs outside the Nov 1–Feb 5 'freeze' window (≈1 = no freeze).</t>
  </si>
</sst>
</file>

<file path=xl/styles.xml><?xml version="1.0" encoding="utf-8"?>
<styleSheet xmlns="http://schemas.openxmlformats.org/spreadsheetml/2006/main">
  <numFmts count="8">
    <numFmt numFmtId="164" formatCode="0.0%"/>
    <numFmt numFmtId="165" formatCode="0.0"/>
    <numFmt numFmtId="166" formatCode="0.00&quot;×&quot;"/>
    <numFmt numFmtId="167" formatCode="#,##0"/>
    <numFmt numFmtId="168" formatCode="mmm yyyy"/>
    <numFmt numFmtId="169" formatCode="0.00"/>
    <numFmt numFmtId="170" formatCode="yyyy-mm-dd"/>
    <numFmt numFmtId="171" formatCode="$0.00"/>
  </numFmts>
  <fonts count="7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  <font>
      <i/>
      <sz val="11"/>
      <color rgb="FF8A8984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color rgb="FF1F3A5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1" applyAlignment="1" applyProtection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6" fillId="2" borderId="1" xfId="0" applyFont="1" applyFill="1" applyBorder="1" applyAlignment="1">
      <alignment vertical="center" wrapText="1"/>
    </xf>
    <xf numFmtId="167" fontId="0" fillId="0" borderId="0" xfId="0" applyNumberFormat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2">
    <cellStyle name="Hyperlink" xfId="1" builtinId="8"/>
    <cellStyle name="Normal" xfId="0" builtinId="0"/>
  </cellStyles>
  <dxfs count="7">
    <dxf>
      <numFmt numFmtId="167" formatCode="#,##0"/>
    </dxf>
    <dxf>
      <numFmt numFmtId="164" formatCode="0.0%"/>
    </dxf>
    <dxf>
      <numFmt numFmtId="168" formatCode="mmm yyyy"/>
    </dxf>
    <dxf>
      <numFmt numFmtId="165" formatCode="0.0"/>
    </dxf>
    <dxf>
      <numFmt numFmtId="170" formatCode="yyyy-mm-dd"/>
    </dxf>
    <dxf>
      <numFmt numFmtId="169" formatCode="0.00"/>
    </dxf>
    <dxf>
      <numFmt numFmtId="171" formatCode="$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Regular-price index on an identical basket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Metro</c:v>
          </c:tx>
          <c:spPr>
            <a:ln w="25400">
              <a:solidFill>
                <a:srgbClr val="EB6834"/>
              </a:solidFill>
            </a:ln>
          </c:spPr>
          <c:marker>
            <c:symbol val="none"/>
          </c:marker>
          <c:cat>
            <c:numRef>
              <c:f>Banner_Index!$A$12:$A$43</c:f>
              <c:numCache>
                <c:formatCode>General</c:formatCode>
                <c:ptCount val="3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  <c:pt idx="18">
                  <c:v>45901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  <c:pt idx="25">
                  <c:v>46113</c:v>
                </c:pt>
                <c:pt idx="26">
                  <c:v>46143</c:v>
                </c:pt>
                <c:pt idx="27">
                  <c:v>46174</c:v>
                </c:pt>
                <c:pt idx="28">
                  <c:v>46204</c:v>
                </c:pt>
                <c:pt idx="29">
                  <c:v>46235</c:v>
                </c:pt>
                <c:pt idx="30">
                  <c:v>46266</c:v>
                </c:pt>
                <c:pt idx="31">
                  <c:v>46296</c:v>
                </c:pt>
              </c:numCache>
            </c:numRef>
          </c:cat>
          <c:val>
            <c:numRef>
              <c:f>Banner_Index!$B$12:$B$43</c:f>
              <c:numCache>
                <c:formatCode>General</c:formatCode>
                <c:ptCount val="32"/>
                <c:pt idx="0">
                  <c:v>129.2889388438499</c:v>
                </c:pt>
                <c:pt idx="1">
                  <c:v>109.412689998711</c:v>
                </c:pt>
                <c:pt idx="2">
                  <c:v>110.4590558219925</c:v>
                </c:pt>
                <c:pt idx="3">
                  <c:v>111.5210366023945</c:v>
                </c:pt>
                <c:pt idx="4">
                  <c:v>111.3338429405718</c:v>
                </c:pt>
                <c:pt idx="5">
                  <c:v>112.3586862230721</c:v>
                </c:pt>
                <c:pt idx="6">
                  <c:v>112.006524115354</c:v>
                </c:pt>
                <c:pt idx="7">
                  <c:v>111.9169556894405</c:v>
                </c:pt>
                <c:pt idx="8">
                  <c:v>111.7532115584476</c:v>
                </c:pt>
                <c:pt idx="9">
                  <c:v>112.1934078563221</c:v>
                </c:pt>
                <c:pt idx="10">
                  <c:v>111.7911024638305</c:v>
                </c:pt>
                <c:pt idx="11">
                  <c:v>111.8916939361966</c:v>
                </c:pt>
                <c:pt idx="12">
                  <c:v>111.6463176551817</c:v>
                </c:pt>
                <c:pt idx="13">
                  <c:v>112.5562469988942</c:v>
                </c:pt>
                <c:pt idx="14">
                  <c:v>113.3260137450756</c:v>
                </c:pt>
                <c:pt idx="15">
                  <c:v>113.4299133784435</c:v>
                </c:pt>
                <c:pt idx="16">
                  <c:v>113.5303774178251</c:v>
                </c:pt>
                <c:pt idx="17">
                  <c:v>113.5885734746259</c:v>
                </c:pt>
                <c:pt idx="18">
                  <c:v>109.2551607542658</c:v>
                </c:pt>
                <c:pt idx="19">
                  <c:v>111.4223626020523</c:v>
                </c:pt>
                <c:pt idx="20">
                  <c:v>113.0602574198195</c:v>
                </c:pt>
                <c:pt idx="21">
                  <c:v>113.8053335580159</c:v>
                </c:pt>
                <c:pt idx="22">
                  <c:v>113.4541955272437</c:v>
                </c:pt>
                <c:pt idx="23">
                  <c:v>114.8196071586808</c:v>
                </c:pt>
                <c:pt idx="24">
                  <c:v>116.2735068678387</c:v>
                </c:pt>
                <c:pt idx="25">
                  <c:v>115.7487531624271</c:v>
                </c:pt>
                <c:pt idx="26">
                  <c:v>114.934659777299</c:v>
                </c:pt>
                <c:pt idx="27">
                  <c:v>115.0958612121122</c:v>
                </c:pt>
                <c:pt idx="28">
                  <c:v>114.9761307060665</c:v>
                </c:pt>
                <c:pt idx="29">
                  <c:v>115.209323082687</c:v>
                </c:pt>
                <c:pt idx="30">
                  <c:v>115.4333823116827</c:v>
                </c:pt>
                <c:pt idx="31">
                  <c:v>114.6835877858548</c:v>
                </c:pt>
              </c:numCache>
            </c:numRef>
          </c:val>
        </c:ser>
        <c:ser>
          <c:idx val="1"/>
          <c:order val="1"/>
          <c:tx>
            <c:v>Loblaws</c:v>
          </c:tx>
          <c:spPr>
            <a:ln w="2540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Banner_Index!$A$12:$A$43</c:f>
              <c:numCache>
                <c:formatCode>General</c:formatCode>
                <c:ptCount val="3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  <c:pt idx="18">
                  <c:v>45901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  <c:pt idx="25">
                  <c:v>46113</c:v>
                </c:pt>
                <c:pt idx="26">
                  <c:v>46143</c:v>
                </c:pt>
                <c:pt idx="27">
                  <c:v>46174</c:v>
                </c:pt>
                <c:pt idx="28">
                  <c:v>46204</c:v>
                </c:pt>
                <c:pt idx="29">
                  <c:v>46235</c:v>
                </c:pt>
                <c:pt idx="30">
                  <c:v>46266</c:v>
                </c:pt>
                <c:pt idx="31">
                  <c:v>46296</c:v>
                </c:pt>
              </c:numCache>
            </c:numRef>
          </c:cat>
          <c:val>
            <c:numRef>
              <c:f>Banner_Index!$C$12:$C$43</c:f>
              <c:numCache>
                <c:formatCode>General</c:formatCode>
                <c:ptCount val="32"/>
                <c:pt idx="0">
                  <c:v>95.78178585101131</c:v>
                </c:pt>
                <c:pt idx="1">
                  <c:v>100.8803143543486</c:v>
                </c:pt>
                <c:pt idx="2">
                  <c:v>101.4173990058698</c:v>
                </c:pt>
                <c:pt idx="3">
                  <c:v>105.9034880093522</c:v>
                </c:pt>
                <c:pt idx="4">
                  <c:v>106.6467903283768</c:v>
                </c:pt>
                <c:pt idx="5">
                  <c:v>106.1797100924774</c:v>
                </c:pt>
                <c:pt idx="6">
                  <c:v>108.4320667766925</c:v>
                </c:pt>
                <c:pt idx="7">
                  <c:v>109.2678808804829</c:v>
                </c:pt>
                <c:pt idx="8">
                  <c:v>109.0951970099757</c:v>
                </c:pt>
                <c:pt idx="9">
                  <c:v>109.7809570474252</c:v>
                </c:pt>
                <c:pt idx="10">
                  <c:v>109.4359614434029</c:v>
                </c:pt>
                <c:pt idx="11">
                  <c:v>109.8940318403145</c:v>
                </c:pt>
                <c:pt idx="12">
                  <c:v>110.1871340603839</c:v>
                </c:pt>
                <c:pt idx="13">
                  <c:v>110.0901159532195</c:v>
                </c:pt>
                <c:pt idx="14">
                  <c:v>110.501196948398</c:v>
                </c:pt>
                <c:pt idx="15">
                  <c:v>110.4360749074947</c:v>
                </c:pt>
                <c:pt idx="16">
                  <c:v>110.4117440177123</c:v>
                </c:pt>
                <c:pt idx="17">
                  <c:v>109.8302539749423</c:v>
                </c:pt>
                <c:pt idx="18">
                  <c:v>109.8385298588772</c:v>
                </c:pt>
                <c:pt idx="19">
                  <c:v>110.1818412952914</c:v>
                </c:pt>
                <c:pt idx="20">
                  <c:v>109.3777910161646</c:v>
                </c:pt>
                <c:pt idx="21">
                  <c:v>109.0691079867696</c:v>
                </c:pt>
                <c:pt idx="22">
                  <c:v>110.0857469054615</c:v>
                </c:pt>
                <c:pt idx="23">
                  <c:v>109.434950901268</c:v>
                </c:pt>
                <c:pt idx="24">
                  <c:v>109.9101578157769</c:v>
                </c:pt>
                <c:pt idx="25">
                  <c:v>109.8765504138646</c:v>
                </c:pt>
                <c:pt idx="26">
                  <c:v>110.2440164971688</c:v>
                </c:pt>
                <c:pt idx="27">
                  <c:v>109.8167852574973</c:v>
                </c:pt>
                <c:pt idx="28">
                  <c:v>111.0185823386442</c:v>
                </c:pt>
                <c:pt idx="29">
                  <c:v>110.2899503841354</c:v>
                </c:pt>
                <c:pt idx="30">
                  <c:v>109.8560364712969</c:v>
                </c:pt>
                <c:pt idx="31">
                  <c:v>109.4321071085646</c:v>
                </c:pt>
              </c:numCache>
            </c:numRef>
          </c:val>
        </c:ser>
        <c:ser>
          <c:idx val="2"/>
          <c:order val="2"/>
          <c:tx>
            <c:v>No Frills</c:v>
          </c:tx>
          <c:spPr>
            <a:ln w="25400">
              <a:solidFill>
                <a:srgbClr val="184F95"/>
              </a:solidFill>
            </a:ln>
          </c:spPr>
          <c:marker>
            <c:symbol val="none"/>
          </c:marker>
          <c:cat>
            <c:numRef>
              <c:f>Banner_Index!$A$12:$A$43</c:f>
              <c:numCache>
                <c:formatCode>General</c:formatCode>
                <c:ptCount val="3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  <c:pt idx="18">
                  <c:v>45901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  <c:pt idx="25">
                  <c:v>46113</c:v>
                </c:pt>
                <c:pt idx="26">
                  <c:v>46143</c:v>
                </c:pt>
                <c:pt idx="27">
                  <c:v>46174</c:v>
                </c:pt>
                <c:pt idx="28">
                  <c:v>46204</c:v>
                </c:pt>
                <c:pt idx="29">
                  <c:v>46235</c:v>
                </c:pt>
                <c:pt idx="30">
                  <c:v>46266</c:v>
                </c:pt>
                <c:pt idx="31">
                  <c:v>46296</c:v>
                </c:pt>
              </c:numCache>
            </c:numRef>
          </c:cat>
          <c:val>
            <c:numRef>
              <c:f>Banner_Index!$D$12:$D$43</c:f>
              <c:numCache>
                <c:formatCode>General</c:formatCode>
                <c:ptCount val="32"/>
                <c:pt idx="0">
                  <c:v>73.3404526421981</c:v>
                </c:pt>
                <c:pt idx="1">
                  <c:v>97.41790810506107</c:v>
                </c:pt>
                <c:pt idx="2">
                  <c:v>95.84673716985655</c:v>
                </c:pt>
                <c:pt idx="3">
                  <c:v>92.82968881205971</c:v>
                </c:pt>
                <c:pt idx="4">
                  <c:v>92.06406120591564</c:v>
                </c:pt>
                <c:pt idx="5">
                  <c:v>91.9458046790939</c:v>
                </c:pt>
                <c:pt idx="6">
                  <c:v>90.81995569918976</c:v>
                </c:pt>
                <c:pt idx="7">
                  <c:v>90.49070174104688</c:v>
                </c:pt>
                <c:pt idx="8">
                  <c:v>90.28470436711858</c:v>
                </c:pt>
                <c:pt idx="9">
                  <c:v>89.52967946109138</c:v>
                </c:pt>
                <c:pt idx="10">
                  <c:v>90.65773070802136</c:v>
                </c:pt>
                <c:pt idx="11">
                  <c:v>89.8839579202474</c:v>
                </c:pt>
                <c:pt idx="12">
                  <c:v>90.664087131458</c:v>
                </c:pt>
                <c:pt idx="13">
                  <c:v>90.963268656767</c:v>
                </c:pt>
                <c:pt idx="14">
                  <c:v>90.87356512476543</c:v>
                </c:pt>
                <c:pt idx="15">
                  <c:v>90.43666776900888</c:v>
                </c:pt>
                <c:pt idx="16">
                  <c:v>90.16707787521958</c:v>
                </c:pt>
                <c:pt idx="17">
                  <c:v>90.04509625512931</c:v>
                </c:pt>
                <c:pt idx="18">
                  <c:v>88.90007295453209</c:v>
                </c:pt>
                <c:pt idx="19">
                  <c:v>89.20289289639373</c:v>
                </c:pt>
                <c:pt idx="20">
                  <c:v>89.50635074183137</c:v>
                </c:pt>
                <c:pt idx="21">
                  <c:v>88.98617229676837</c:v>
                </c:pt>
                <c:pt idx="22">
                  <c:v>89.71327189235549</c:v>
                </c:pt>
                <c:pt idx="23">
                  <c:v>89.31249489547291</c:v>
                </c:pt>
                <c:pt idx="24">
                  <c:v>88.14955604518534</c:v>
                </c:pt>
                <c:pt idx="25">
                  <c:v>88.49259353068032</c:v>
                </c:pt>
                <c:pt idx="26">
                  <c:v>89.00586883872137</c:v>
                </c:pt>
                <c:pt idx="27">
                  <c:v>89.79823528726864</c:v>
                </c:pt>
                <c:pt idx="28">
                  <c:v>89.62550633990323</c:v>
                </c:pt>
                <c:pt idx="29">
                  <c:v>89.54532989655613</c:v>
                </c:pt>
                <c:pt idx="30">
                  <c:v>89.59182933757553</c:v>
                </c:pt>
                <c:pt idx="31">
                  <c:v>89.85973704074904</c:v>
                </c:pt>
              </c:numCache>
            </c:numRef>
          </c:val>
        </c:ser>
        <c:ser>
          <c:idx val="3"/>
          <c:order val="3"/>
          <c:tx>
            <c:v>Walmart</c:v>
          </c:tx>
          <c:spPr>
            <a:ln w="25400">
              <a:solidFill>
                <a:srgbClr val="6250D6"/>
              </a:solidFill>
            </a:ln>
          </c:spPr>
          <c:marker>
            <c:symbol val="none"/>
          </c:marker>
          <c:cat>
            <c:numRef>
              <c:f>Banner_Index!$A$12:$A$43</c:f>
              <c:numCache>
                <c:formatCode>General</c:formatCode>
                <c:ptCount val="3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  <c:pt idx="18">
                  <c:v>45901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  <c:pt idx="25">
                  <c:v>46113</c:v>
                </c:pt>
                <c:pt idx="26">
                  <c:v>46143</c:v>
                </c:pt>
                <c:pt idx="27">
                  <c:v>46174</c:v>
                </c:pt>
                <c:pt idx="28">
                  <c:v>46204</c:v>
                </c:pt>
                <c:pt idx="29">
                  <c:v>46235</c:v>
                </c:pt>
                <c:pt idx="30">
                  <c:v>46266</c:v>
                </c:pt>
                <c:pt idx="31">
                  <c:v>46296</c:v>
                </c:pt>
              </c:numCache>
            </c:numRef>
          </c:cat>
          <c:val>
            <c:numRef>
              <c:f>Banner_Index!$E$12:$E$43</c:f>
              <c:numCache>
                <c:formatCode>General</c:formatCode>
                <c:ptCount val="32"/>
                <c:pt idx="0">
                  <c:v>110.1062857901415</c:v>
                </c:pt>
                <c:pt idx="1">
                  <c:v>93.00088427021112</c:v>
                </c:pt>
                <c:pt idx="2">
                  <c:v>93.13413212988428</c:v>
                </c:pt>
                <c:pt idx="3">
                  <c:v>91.21075353621464</c:v>
                </c:pt>
                <c:pt idx="4">
                  <c:v>91.48183802642848</c:v>
                </c:pt>
                <c:pt idx="5">
                  <c:v>91.16326990084674</c:v>
                </c:pt>
                <c:pt idx="6">
                  <c:v>90.66040576746076</c:v>
                </c:pt>
                <c:pt idx="7">
                  <c:v>90.36653605959177</c:v>
                </c:pt>
                <c:pt idx="8">
                  <c:v>90.84900518882624</c:v>
                </c:pt>
                <c:pt idx="9">
                  <c:v>90.68565997873284</c:v>
                </c:pt>
                <c:pt idx="10">
                  <c:v>90.1628973821656</c:v>
                </c:pt>
                <c:pt idx="11">
                  <c:v>90.4785967219523</c:v>
                </c:pt>
                <c:pt idx="12">
                  <c:v>89.65807619236161</c:v>
                </c:pt>
                <c:pt idx="13">
                  <c:v>88.71887154641834</c:v>
                </c:pt>
                <c:pt idx="14">
                  <c:v>87.87510126507149</c:v>
                </c:pt>
                <c:pt idx="15">
                  <c:v>88.27076389199068</c:v>
                </c:pt>
                <c:pt idx="16">
                  <c:v>88.47583156782771</c:v>
                </c:pt>
                <c:pt idx="17">
                  <c:v>89.01912068032659</c:v>
                </c:pt>
                <c:pt idx="18">
                  <c:v>93.73487635234974</c:v>
                </c:pt>
                <c:pt idx="19">
                  <c:v>91.31427434356726</c:v>
                </c:pt>
                <c:pt idx="20">
                  <c:v>90.34560510704148</c:v>
                </c:pt>
                <c:pt idx="21">
                  <c:v>90.53428925812018</c:v>
                </c:pt>
                <c:pt idx="22">
                  <c:v>89.24659385895552</c:v>
                </c:pt>
                <c:pt idx="23">
                  <c:v>89.10779040101947</c:v>
                </c:pt>
                <c:pt idx="24">
                  <c:v>88.76898783355841</c:v>
                </c:pt>
                <c:pt idx="25">
                  <c:v>88.85292694963481</c:v>
                </c:pt>
                <c:pt idx="26">
                  <c:v>88.6697153018381</c:v>
                </c:pt>
                <c:pt idx="27">
                  <c:v>88.10565109194141</c:v>
                </c:pt>
                <c:pt idx="28">
                  <c:v>87.41078314622833</c:v>
                </c:pt>
                <c:pt idx="29">
                  <c:v>87.88879152486678</c:v>
                </c:pt>
                <c:pt idx="30">
                  <c:v>88.01896320693803</c:v>
                </c:pt>
                <c:pt idx="31">
                  <c:v>88.672473658942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 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  <c:max val="120"/>
          <c:min val="80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Loblaws premium over No Frills (identical SKU)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Median Loblaws premium over No Frills</c:v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4"/>
            <c:spPr>
              <a:solidFill>
                <a:srgbClr val="2A78D6"/>
              </a:solidFill>
              <a:ln>
                <a:solidFill>
                  <a:srgbClr val="2A78D6"/>
                </a:solidFill>
              </a:ln>
            </c:spPr>
          </c:marker>
          <c:cat>
            <c:numRef>
              <c:f>Loblaw_Siblings!$A$5:$A$37</c:f>
              <c:numCache>
                <c:formatCode>General</c:formatCode>
                <c:ptCount val="33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  <c:pt idx="23">
                  <c:v>46023</c:v>
                </c:pt>
                <c:pt idx="24">
                  <c:v>46054</c:v>
                </c:pt>
                <c:pt idx="25">
                  <c:v>46082</c:v>
                </c:pt>
                <c:pt idx="26">
                  <c:v>46113</c:v>
                </c:pt>
                <c:pt idx="27">
                  <c:v>46143</c:v>
                </c:pt>
                <c:pt idx="28">
                  <c:v>46174</c:v>
                </c:pt>
                <c:pt idx="29">
                  <c:v>46204</c:v>
                </c:pt>
                <c:pt idx="30">
                  <c:v>46235</c:v>
                </c:pt>
                <c:pt idx="31">
                  <c:v>46266</c:v>
                </c:pt>
                <c:pt idx="32">
                  <c:v>46296</c:v>
                </c:pt>
              </c:numCache>
            </c:numRef>
          </c:cat>
          <c:val>
            <c:numRef>
              <c:f>Loblaw_Siblings!$C$5:$C$37</c:f>
              <c:numCache>
                <c:formatCode>General</c:formatCode>
                <c:ptCount val="33"/>
                <c:pt idx="0">
                  <c:v>0.0556173526140155</c:v>
                </c:pt>
                <c:pt idx="1">
                  <c:v>0.0527704485488127</c:v>
                </c:pt>
                <c:pt idx="2">
                  <c:v>0.0527704485488127</c:v>
                </c:pt>
                <c:pt idx="3">
                  <c:v>0.0546448087431694</c:v>
                </c:pt>
                <c:pt idx="4">
                  <c:v>0.1111934766493698</c:v>
                </c:pt>
                <c:pt idx="5">
                  <c:v>0.111358574610245</c:v>
                </c:pt>
                <c:pt idx="6">
                  <c:v>0.1173184357541898</c:v>
                </c:pt>
                <c:pt idx="7">
                  <c:v>0.1305483028720626</c:v>
                </c:pt>
                <c:pt idx="8">
                  <c:v>0.1429933269780743</c:v>
                </c:pt>
                <c:pt idx="9">
                  <c:v>0.1428571428571428</c:v>
                </c:pt>
                <c:pt idx="10">
                  <c:v>0.1431980906921239</c:v>
                </c:pt>
                <c:pt idx="11">
                  <c:v>0.1428571428571428</c:v>
                </c:pt>
                <c:pt idx="12">
                  <c:v>0.1429592566118656</c:v>
                </c:pt>
                <c:pt idx="13">
                  <c:v>0.1429592566118656</c:v>
                </c:pt>
                <c:pt idx="14">
                  <c:v>0.1342281879194631</c:v>
                </c:pt>
                <c:pt idx="15">
                  <c:v>0.1323251417769375</c:v>
                </c:pt>
                <c:pt idx="16">
                  <c:v>0.1335113484646195</c:v>
                </c:pt>
                <c:pt idx="17">
                  <c:v>0.1323251417769375</c:v>
                </c:pt>
                <c:pt idx="18">
                  <c:v>0.1319261213720317</c:v>
                </c:pt>
                <c:pt idx="19">
                  <c:v>0.1173184357541898</c:v>
                </c:pt>
                <c:pt idx="20">
                  <c:v>0.1400000000000001</c:v>
                </c:pt>
                <c:pt idx="21">
                  <c:v>0.1253132832080201</c:v>
                </c:pt>
                <c:pt idx="22">
                  <c:v>0.1334222815210139</c:v>
                </c:pt>
                <c:pt idx="23">
                  <c:v>0.1428571428571428</c:v>
                </c:pt>
                <c:pt idx="24">
                  <c:v>0.1414285714285715</c:v>
                </c:pt>
                <c:pt idx="25">
                  <c:v>0.1371428571428572</c:v>
                </c:pt>
                <c:pt idx="26">
                  <c:v>0.1354545454545455</c:v>
                </c:pt>
                <c:pt idx="27">
                  <c:v>0.1378015549312803</c:v>
                </c:pt>
                <c:pt idx="28">
                  <c:v>0.1364256480218282</c:v>
                </c:pt>
                <c:pt idx="29">
                  <c:v>0.1364877161055504</c:v>
                </c:pt>
                <c:pt idx="30">
                  <c:v>0.1335559265442402</c:v>
                </c:pt>
                <c:pt idx="31">
                  <c:v>0.1414285714285715</c:v>
                </c:pt>
                <c:pt idx="32">
                  <c:v>0.1400000000000001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mmm 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Regular-price index vs CPI (Aug 2024 =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Loblaws</c:v>
          </c:tx>
          <c:spPr>
            <a:ln w="22225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Inflation!$B$5:$B$30</c:f>
              <c:numCache>
                <c:formatCode>General</c:formatCode>
                <c:ptCount val="26"/>
                <c:pt idx="0">
                  <c:v>100</c:v>
                </c:pt>
                <c:pt idx="1">
                  <c:v>101.0112440613914</c:v>
                </c:pt>
                <c:pt idx="2">
                  <c:v>101.111997459011</c:v>
                </c:pt>
                <c:pt idx="3">
                  <c:v>100.8751861079937</c:v>
                </c:pt>
                <c:pt idx="4">
                  <c:v>101.494427465716</c:v>
                </c:pt>
                <c:pt idx="5">
                  <c:v>101.5683913954122</c:v>
                </c:pt>
                <c:pt idx="6">
                  <c:v>102.2085383086171</c:v>
                </c:pt>
                <c:pt idx="7">
                  <c:v>102.4803948408489</c:v>
                </c:pt>
                <c:pt idx="8">
                  <c:v>102.5096021317888</c:v>
                </c:pt>
                <c:pt idx="9">
                  <c:v>102.5133563410592</c:v>
                </c:pt>
                <c:pt idx="10">
                  <c:v>102.8421319565691</c:v>
                </c:pt>
                <c:pt idx="11">
                  <c:v>102.8324391866139</c:v>
                </c:pt>
                <c:pt idx="12">
                  <c:v>102.706574270551</c:v>
                </c:pt>
                <c:pt idx="13">
                  <c:v>103.1312140345752</c:v>
                </c:pt>
                <c:pt idx="14">
                  <c:v>103.2357339240098</c:v>
                </c:pt>
                <c:pt idx="15">
                  <c:v>103.2921115553696</c:v>
                </c:pt>
                <c:pt idx="16">
                  <c:v>102.9047752789554</c:v>
                </c:pt>
                <c:pt idx="17">
                  <c:v>103.9562523654338</c:v>
                </c:pt>
                <c:pt idx="18">
                  <c:v>103.991998173834</c:v>
                </c:pt>
                <c:pt idx="19">
                  <c:v>104.2373689035508</c:v>
                </c:pt>
                <c:pt idx="20">
                  <c:v>103.9524964374467</c:v>
                </c:pt>
                <c:pt idx="21">
                  <c:v>104.1533137288818</c:v>
                </c:pt>
                <c:pt idx="22">
                  <c:v>103.8723944706734</c:v>
                </c:pt>
                <c:pt idx="23">
                  <c:v>104.2598996949365</c:v>
                </c:pt>
                <c:pt idx="24">
                  <c:v>104.2109853537182</c:v>
                </c:pt>
                <c:pt idx="25">
                  <c:v>104.0312178717581</c:v>
                </c:pt>
              </c:numCache>
            </c:numRef>
          </c:val>
        </c:ser>
        <c:ser>
          <c:idx val="1"/>
          <c:order val="1"/>
          <c:tx>
            <c:v>No Frills</c:v>
          </c:tx>
          <c:spPr>
            <a:ln w="22225">
              <a:solidFill>
                <a:srgbClr val="184F95"/>
              </a:solidFill>
              <a:prstDash val="solid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Inflation!$C$5:$C$30</c:f>
              <c:numCache>
                <c:formatCode>General</c:formatCode>
                <c:ptCount val="26"/>
                <c:pt idx="0">
                  <c:v>100</c:v>
                </c:pt>
                <c:pt idx="1">
                  <c:v>99.88356023125466</c:v>
                </c:pt>
                <c:pt idx="2">
                  <c:v>99.55974147586284</c:v>
                </c:pt>
                <c:pt idx="3">
                  <c:v>99.48414525931769</c:v>
                </c:pt>
                <c:pt idx="4">
                  <c:v>99.26634146456644</c:v>
                </c:pt>
                <c:pt idx="5">
                  <c:v>100.9569699474755</c:v>
                </c:pt>
                <c:pt idx="6">
                  <c:v>101.5337578987547</c:v>
                </c:pt>
                <c:pt idx="7">
                  <c:v>101.0612807140378</c:v>
                </c:pt>
                <c:pt idx="8">
                  <c:v>102.2811179921547</c:v>
                </c:pt>
                <c:pt idx="9">
                  <c:v>102.6689237444049</c:v>
                </c:pt>
                <c:pt idx="10">
                  <c:v>102.4186056663575</c:v>
                </c:pt>
                <c:pt idx="11">
                  <c:v>102.5070392253951</c:v>
                </c:pt>
                <c:pt idx="12">
                  <c:v>102.467073034292</c:v>
                </c:pt>
                <c:pt idx="13">
                  <c:v>103.1608831083582</c:v>
                </c:pt>
                <c:pt idx="14">
                  <c:v>103.0068279474896</c:v>
                </c:pt>
                <c:pt idx="15">
                  <c:v>103.9781554721012</c:v>
                </c:pt>
                <c:pt idx="16">
                  <c:v>103.0991413453575</c:v>
                </c:pt>
                <c:pt idx="17">
                  <c:v>103.8512106445022</c:v>
                </c:pt>
                <c:pt idx="18">
                  <c:v>103.8609657164862</c:v>
                </c:pt>
                <c:pt idx="19">
                  <c:v>103.7364192404214</c:v>
                </c:pt>
                <c:pt idx="20">
                  <c:v>104.1822956543811</c:v>
                </c:pt>
                <c:pt idx="21">
                  <c:v>104.3183166677635</c:v>
                </c:pt>
                <c:pt idx="22">
                  <c:v>104.3635379930073</c:v>
                </c:pt>
                <c:pt idx="23">
                  <c:v>104.4541924074898</c:v>
                </c:pt>
                <c:pt idx="24">
                  <c:v>104.5022792857605</c:v>
                </c:pt>
                <c:pt idx="25">
                  <c:v>103.9208413363844</c:v>
                </c:pt>
              </c:numCache>
            </c:numRef>
          </c:val>
        </c:ser>
        <c:ser>
          <c:idx val="2"/>
          <c:order val="2"/>
          <c:tx>
            <c:v>Metro</c:v>
          </c:tx>
          <c:spPr>
            <a:ln w="22225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Inflation!$D$5:$D$30</c:f>
              <c:numCache>
                <c:formatCode>General</c:formatCode>
                <c:ptCount val="26"/>
                <c:pt idx="0">
                  <c:v>100</c:v>
                </c:pt>
                <c:pt idx="1">
                  <c:v>100.0012788557645</c:v>
                </c:pt>
                <c:pt idx="2">
                  <c:v>100.0265725389454</c:v>
                </c:pt>
                <c:pt idx="3">
                  <c:v>100.1026800586103</c:v>
                </c:pt>
                <c:pt idx="4">
                  <c:v>100.1971914225853</c:v>
                </c:pt>
                <c:pt idx="5">
                  <c:v>99.9991219491128</c:v>
                </c:pt>
                <c:pt idx="6">
                  <c:v>100.387089201544</c:v>
                </c:pt>
                <c:pt idx="7">
                  <c:v>100.6533841829368</c:v>
                </c:pt>
                <c:pt idx="8">
                  <c:v>101.1326117543313</c:v>
                </c:pt>
                <c:pt idx="9">
                  <c:v>101.3656967136018</c:v>
                </c:pt>
                <c:pt idx="10">
                  <c:v>101.7567202830935</c:v>
                </c:pt>
                <c:pt idx="11">
                  <c:v>102.1347696206483</c:v>
                </c:pt>
                <c:pt idx="12">
                  <c:v>102.2194968760175</c:v>
                </c:pt>
                <c:pt idx="13">
                  <c:v>101.1538169246675</c:v>
                </c:pt>
                <c:pt idx="14">
                  <c:v>101.2265289912333</c:v>
                </c:pt>
                <c:pt idx="15">
                  <c:v>102.6371917110003</c:v>
                </c:pt>
                <c:pt idx="16">
                  <c:v>102.7873736024175</c:v>
                </c:pt>
                <c:pt idx="17">
                  <c:v>103.1301535262921</c:v>
                </c:pt>
                <c:pt idx="18">
                  <c:v>103.9967517797584</c:v>
                </c:pt>
                <c:pt idx="19">
                  <c:v>104.787444549174</c:v>
                </c:pt>
                <c:pt idx="20">
                  <c:v>104.6883882766961</c:v>
                </c:pt>
                <c:pt idx="21">
                  <c:v>104.7857470999205</c:v>
                </c:pt>
                <c:pt idx="22">
                  <c:v>104.7506461576341</c:v>
                </c:pt>
                <c:pt idx="23">
                  <c:v>104.5555526130367</c:v>
                </c:pt>
                <c:pt idx="24">
                  <c:v>104.8509487326978</c:v>
                </c:pt>
                <c:pt idx="25">
                  <c:v>104.975345441404</c:v>
                </c:pt>
              </c:numCache>
            </c:numRef>
          </c:val>
        </c:ser>
        <c:ser>
          <c:idx val="3"/>
          <c:order val="3"/>
          <c:tx>
            <c:v>Walmart</c:v>
          </c:tx>
          <c:spPr>
            <a:ln w="22225">
              <a:solidFill>
                <a:srgbClr val="6250D6"/>
              </a:solidFill>
              <a:prstDash val="solid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Inflation!$E$5:$E$30</c:f>
              <c:numCache>
                <c:formatCode>General</c:formatCode>
                <c:ptCount val="26"/>
                <c:pt idx="0">
                  <c:v>100</c:v>
                </c:pt>
                <c:pt idx="1">
                  <c:v>99.98997361450238</c:v>
                </c:pt>
                <c:pt idx="2">
                  <c:v>100.0289195991237</c:v>
                </c:pt>
                <c:pt idx="3">
                  <c:v>100.1693020106006</c:v>
                </c:pt>
                <c:pt idx="4">
                  <c:v>100.0868383914016</c:v>
                </c:pt>
                <c:pt idx="5">
                  <c:v>100.2656921828559</c:v>
                </c:pt>
                <c:pt idx="6">
                  <c:v>101.2578014182792</c:v>
                </c:pt>
                <c:pt idx="7">
                  <c:v>101.0215007797867</c:v>
                </c:pt>
                <c:pt idx="8">
                  <c:v>100.4499484150738</c:v>
                </c:pt>
                <c:pt idx="9">
                  <c:v>100.4034514637531</c:v>
                </c:pt>
                <c:pt idx="10">
                  <c:v>100.965162679294</c:v>
                </c:pt>
                <c:pt idx="11">
                  <c:v>101.6013835722106</c:v>
                </c:pt>
                <c:pt idx="12">
                  <c:v>101.9897658642586</c:v>
                </c:pt>
                <c:pt idx="13">
                  <c:v>104.2931558891602</c:v>
                </c:pt>
                <c:pt idx="14">
                  <c:v>104.3203159263821</c:v>
                </c:pt>
                <c:pt idx="15">
                  <c:v>104.5227486135014</c:v>
                </c:pt>
                <c:pt idx="16">
                  <c:v>104.4791496928829</c:v>
                </c:pt>
                <c:pt idx="17">
                  <c:v>104.3461262042531</c:v>
                </c:pt>
                <c:pt idx="18">
                  <c:v>104.2047218485812</c:v>
                </c:pt>
                <c:pt idx="19">
                  <c:v>104.1648329871589</c:v>
                </c:pt>
                <c:pt idx="20">
                  <c:v>103.8561900353855</c:v>
                </c:pt>
                <c:pt idx="21">
                  <c:v>103.7295223910009</c:v>
                </c:pt>
                <c:pt idx="22">
                  <c:v>103.3061461240779</c:v>
                </c:pt>
                <c:pt idx="23">
                  <c:v>103.0575020600762</c:v>
                </c:pt>
                <c:pt idx="24">
                  <c:v>103.3292374008444</c:v>
                </c:pt>
                <c:pt idx="25">
                  <c:v>103.4485346952468</c:v>
                </c:pt>
              </c:numCache>
            </c:numRef>
          </c:val>
        </c:ser>
        <c:ser>
          <c:idx val="4"/>
          <c:order val="4"/>
          <c:tx>
            <c:v>Voilà</c:v>
          </c:tx>
          <c:spPr>
            <a:ln w="22225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Inflation!$F$5:$F$30</c:f>
              <c:numCache>
                <c:formatCode>General</c:formatCode>
                <c:ptCount val="26"/>
                <c:pt idx="0">
                  <c:v>100</c:v>
                </c:pt>
                <c:pt idx="1">
                  <c:v>100.119914375965</c:v>
                </c:pt>
                <c:pt idx="2">
                  <c:v>100.276178667979</c:v>
                </c:pt>
                <c:pt idx="3">
                  <c:v>100.3743207109589</c:v>
                </c:pt>
                <c:pt idx="4">
                  <c:v>100.3186094911483</c:v>
                </c:pt>
                <c:pt idx="5">
                  <c:v>100.4466292114898</c:v>
                </c:pt>
                <c:pt idx="6">
                  <c:v>100.6809652594276</c:v>
                </c:pt>
                <c:pt idx="7">
                  <c:v>101.1791832317097</c:v>
                </c:pt>
                <c:pt idx="8">
                  <c:v>101.4293151529676</c:v>
                </c:pt>
                <c:pt idx="9">
                  <c:v>101.6199462965171</c:v>
                </c:pt>
                <c:pt idx="10">
                  <c:v>101.9170604139355</c:v>
                </c:pt>
                <c:pt idx="11">
                  <c:v>102.4059232830236</c:v>
                </c:pt>
                <c:pt idx="12">
                  <c:v>102.7129542031152</c:v>
                </c:pt>
                <c:pt idx="13">
                  <c:v>102.9660937329974</c:v>
                </c:pt>
                <c:pt idx="14">
                  <c:v>103.0552572262501</c:v>
                </c:pt>
                <c:pt idx="15">
                  <c:v>103.7582268757922</c:v>
                </c:pt>
                <c:pt idx="16">
                  <c:v>104.057313347829</c:v>
                </c:pt>
                <c:pt idx="17">
                  <c:v>104.3385700028223</c:v>
                </c:pt>
                <c:pt idx="18">
                  <c:v>104.6878597446977</c:v>
                </c:pt>
                <c:pt idx="19">
                  <c:v>105.1965960711478</c:v>
                </c:pt>
                <c:pt idx="20">
                  <c:v>105.4463526935576</c:v>
                </c:pt>
                <c:pt idx="21">
                  <c:v>105.7872105439794</c:v>
                </c:pt>
                <c:pt idx="22">
                  <c:v>105.9873758501323</c:v>
                </c:pt>
                <c:pt idx="23">
                  <c:v>106.0433760777126</c:v>
                </c:pt>
                <c:pt idx="24">
                  <c:v>106.1732540336568</c:v>
                </c:pt>
                <c:pt idx="25">
                  <c:v>106.290006079576</c:v>
                </c:pt>
              </c:numCache>
            </c:numRef>
          </c:val>
        </c:ser>
        <c:ser>
          <c:idx val="5"/>
          <c:order val="5"/>
          <c:tx>
            <c:v>CPI food from stores — Ontario</c:v>
          </c:tx>
          <c:spPr>
            <a:ln w="31750">
              <a:solidFill>
                <a:srgbClr val="0B0B0B"/>
              </a:solidFill>
              <a:prstDash val="dash"/>
            </a:ln>
          </c:spPr>
          <c:marker>
            <c:symbol val="none"/>
          </c:marker>
          <c:cat>
            <c:numRef>
              <c:f>Inflation!$A$5:$A$30</c:f>
              <c:numCache>
                <c:formatCode>General</c:formatCode>
                <c:ptCount val="26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  <c:pt idx="24">
                  <c:v>46235</c:v>
                </c:pt>
                <c:pt idx="25">
                  <c:v>46266</c:v>
                </c:pt>
              </c:numCache>
            </c:numRef>
          </c:cat>
          <c:val>
            <c:numRef>
              <c:f>Inflation!$J$5:$J$30</c:f>
              <c:numCache>
                <c:formatCode>General</c:formatCode>
                <c:ptCount val="26"/>
                <c:pt idx="0">
                  <c:v>100</c:v>
                </c:pt>
                <c:pt idx="1">
                  <c:v>99.89517819706498</c:v>
                </c:pt>
                <c:pt idx="2">
                  <c:v>100.0524109014675</c:v>
                </c:pt>
                <c:pt idx="3">
                  <c:v>100.62893081761</c:v>
                </c:pt>
                <c:pt idx="4">
                  <c:v>100.104821802935</c:v>
                </c:pt>
                <c:pt idx="5">
                  <c:v>100.7861635220126</c:v>
                </c:pt>
                <c:pt idx="6">
                  <c:v>101.3102725366876</c:v>
                </c:pt>
                <c:pt idx="7">
                  <c:v>101.1530398322851</c:v>
                </c:pt>
                <c:pt idx="8">
                  <c:v>101.6771488469602</c:v>
                </c:pt>
                <c:pt idx="9">
                  <c:v>102.3584905660377</c:v>
                </c:pt>
                <c:pt idx="10">
                  <c:v>102.5681341719077</c:v>
                </c:pt>
                <c:pt idx="11">
                  <c:v>103.4067085953878</c:v>
                </c:pt>
                <c:pt idx="12">
                  <c:v>103.1970649895178</c:v>
                </c:pt>
                <c:pt idx="13">
                  <c:v>103.4067085953878</c:v>
                </c:pt>
                <c:pt idx="14">
                  <c:v>102.9350104821803</c:v>
                </c:pt>
                <c:pt idx="15">
                  <c:v>104.769392033543</c:v>
                </c:pt>
                <c:pt idx="16">
                  <c:v>104.9266247379455</c:v>
                </c:pt>
                <c:pt idx="17">
                  <c:v>105.7127882599581</c:v>
                </c:pt>
                <c:pt idx="18">
                  <c:v>105.4507337526205</c:v>
                </c:pt>
                <c:pt idx="19">
                  <c:v>106.1844863731656</c:v>
                </c:pt>
                <c:pt idx="20">
                  <c:v>105.607966457023</c:v>
                </c:pt>
                <c:pt idx="21">
                  <c:v>107.2851153039832</c:v>
                </c:pt>
                <c:pt idx="22">
                  <c:v>106.6561844863732</c:v>
                </c:pt>
                <c:pt idx="23">
                  <c:v>106.3941299790356</c:v>
                </c:pt>
                <c:pt idx="24">
                  <c:v>106.0272536687631</c:v>
                </c:pt>
                <c:pt idx="25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mm 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  <c:max val="110"/>
          <c:min val="95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6</xdr:col>
      <xdr:colOff>361950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419100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6</xdr:col>
      <xdr:colOff>971550</xdr:colOff>
      <xdr:row>49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verage" displayName="Coverage" ref="A4:J12" totalsRowShown="0">
  <autoFilter ref="A4:J12"/>
  <tableColumns count="10">
    <tableColumn id="1" name="banner"/>
    <tableColumn id="2" name="parent"/>
    <tableColumn id="3" name="role"/>
    <tableColumn id="4" name="products" dataDxfId="0"/>
    <tableColumn id="5" name="product_days" dataDxfId="0"/>
    <tableColumn id="6" name="days" dataDxfId="0"/>
    <tableColumn id="7" name="first_day"/>
    <tableColumn id="8" name="last_day"/>
    <tableColumn id="9" name="promo_share" dataDxfId="1"/>
    <tableColumn id="10" name="products_with_gtin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annerIndex" displayName="BannerIndex" ref="I4:N132" totalsRowShown="0">
  <autoFilter ref="I4:N132"/>
  <tableColumns count="6">
    <tableColumn id="1" name="month" dataDxfId="2"/>
    <tableColumn id="2" name="banner"/>
    <tableColumn id="3" name="basket_items" dataDxfId="0"/>
    <tableColumn id="4" name="regular_index" dataDxfId="3"/>
    <tableColumn id="5" name="shelf_index" dataDxfId="3"/>
    <tableColumn id="6" name="shelf_vs_regular_base" dataDxf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IdenticalGaps" displayName="IdenticalGaps" ref="A4:M17" totalsRowShown="0">
  <autoFilter ref="A4:M17"/>
  <tableColumns count="13">
    <tableColumn id="1" name="banner_a"/>
    <tableColumn id="2" name="banner_b"/>
    <tableColumn id="3" name="match"/>
    <tableColumn id="4" name="group"/>
    <tableColumn id="5" name="matched_products" dataDxfId="0"/>
    <tableColumn id="6" name="matched_product_days" dataDxfId="0"/>
    <tableColumn id="7" name="median_regular_premium_a_vs_b" dataDxfId="1"/>
    <tableColumn id="8" name="mean_regular_premium_a_vs_b" dataDxfId="1"/>
    <tableColumn id="9" name="median_shelf_premium_a_vs_b" dataDxfId="1"/>
    <tableColumn id="10" name="share_items_a_dearer" dataDxfId="1"/>
    <tableColumn id="11" name="share_items_identical" dataDxfId="1"/>
    <tableColumn id="12" name="share_items_a_cheaper" dataDxfId="1"/>
    <tableColumn id="13" name="share_days_identical_regular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LoblawMonthly" displayName="LoblawMonthly" ref="A4:D37" totalsRowShown="0">
  <autoFilter ref="A4:D37"/>
  <tableColumns count="4">
    <tableColumn id="1" name="month" dataDxfId="2"/>
    <tableColumn id="2" name="matched_items" dataDxfId="0"/>
    <tableColumn id="3" name="median_premium" dataDxfId="1"/>
    <tableColumn id="4" name="share_identical_price" dataDxfId="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LoblawByCategory" displayName="LoblawByCategory" ref="A41:D60" totalsRowShown="0">
  <autoFilter ref="A41:D60"/>
  <tableColumns count="4">
    <tableColumn id="1" name="category"/>
    <tableColumn id="2" name="private_label"/>
    <tableColumn id="3" name="products" dataDxfId="0"/>
    <tableColumn id="4" name="median_regular_premium" dataDxfId="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ync" displayName="Sync" ref="A4:L30" totalsRowShown="0">
  <autoFilter ref="A4:L30"/>
  <tableColumns count="12">
    <tableColumn id="1" name="banner_a"/>
    <tableColumn id="2" name="banner_b"/>
    <tableColumn id="3" name="pair_group"/>
    <tableColumn id="4" name="events_a" dataDxfId="0"/>
    <tableColumn id="5" name="observed_0d" dataDxfId="1"/>
    <tableColumn id="6" name="placebo_0d" dataDxfId="1"/>
    <tableColumn id="7" name="observed_1d" dataDxfId="1"/>
    <tableColumn id="8" name="placebo_1d" dataDxfId="1"/>
    <tableColumn id="9" name="observed_3d" dataDxfId="1"/>
    <tableColumn id="10" name="placebo_3d" dataDxfId="1"/>
    <tableColumn id="11" name="observed_7d" dataDxfId="1"/>
    <tableColumn id="12" name="placebo_7d" dataDxfId="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LeadLag" displayName="LeadLag" ref="A4:I17" totalsRowShown="0">
  <autoFilter ref="A4:I17"/>
  <tableColumns count="9">
    <tableColumn id="1" name="banner_a"/>
    <tableColumn id="2" name="banner_b"/>
    <tableColumn id="3" name="pair_group"/>
    <tableColumn id="4" name="paired_changes" dataDxfId="0"/>
    <tableColumn id="5" name="share_same_day" dataDxfId="1"/>
    <tableColumn id="6" name="share_a_first" dataDxfId="1"/>
    <tableColumn id="7" name="share_b_first" dataDxfId="1"/>
    <tableColumn id="8" name="median_abs_lag_days" dataDxfId="3"/>
    <tableColumn id="9" name="share_new_price_identical" dataDxfId="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Weekly" displayName="Weekly" ref="L4:S905" totalsRowShown="0">
  <autoFilter ref="L4:S905"/>
  <tableColumns count="8">
    <tableColumn id="1" name="banner"/>
    <tableColumn id="2" name="week" dataDxfId="4"/>
    <tableColumn id="3" name="freeze_window"/>
    <tableColumn id="4" name="active" dataDxfId="0"/>
    <tableColumn id="5" name="ups" dataDxfId="0"/>
    <tableColumn id="6" name="downs" dataDxfId="0"/>
    <tableColumn id="7" name="ups_per_1000" dataDxfId="3"/>
    <tableColumn id="8" name="downs_per_1000" dataDxfId="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FreezeByBrand" displayName="FreezeByBrand" ref="A15:I30" totalsRowShown="0">
  <autoFilter ref="A15:I30"/>
  <tableColumns count="9">
    <tableColumn id="1" name="banner"/>
    <tableColumn id="2" name="brand_type"/>
    <tableColumn id="3" name="ups_per_1000_out_window" dataDxfId="3"/>
    <tableColumn id="4" name="downs_per_1000_out_window" dataDxfId="3"/>
    <tableColumn id="5" name="weeks_out_window"/>
    <tableColumn id="6" name="ups_per_1000_in_window" dataDxfId="3"/>
    <tableColumn id="7" name="downs_per_1000_in_window" dataDxfId="3"/>
    <tableColumn id="8" name="weeks_in_window"/>
    <tableColumn id="9" name="increase_rate_ratio_in_vs_out" dataDxfId="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Promos" displayName="Promos" ref="A4:H19" totalsRowShown="0">
  <autoFilter ref="A4:H19"/>
  <tableColumns count="8">
    <tableColumn id="1" name="banner"/>
    <tableColumn id="2" name="brand_type"/>
    <tableColumn id="3" name="product_days" dataDxfId="0"/>
    <tableColumn id="4" name="promo_share" dataDxfId="1"/>
    <tableColumn id="5" name="median_depth" dataDxfId="1"/>
    <tableColumn id="6" name="mean_depth" dataDxfId="1"/>
    <tableColumn id="7" name="share_deep_25pct" dataDxfId="1"/>
    <tableColumn id="8" name="multibuy_share_of_promos" dataDxfId="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PromoCotiming" displayName="PromoCotiming" ref="A23:G36" totalsRowShown="0">
  <autoFilter ref="A23:G36"/>
  <tableColumns count="7">
    <tableColumn id="1" name="banner_a"/>
    <tableColumn id="2" name="banner_b"/>
    <tableColumn id="3" name="pair_group"/>
    <tableColumn id="4" name="matched_days" dataDxfId="0"/>
    <tableColumn id="5" name="p_b_promo" dataDxfId="1"/>
    <tableColumn id="6" name="p_b_promo_given_a_promo" dataDxfId="1"/>
    <tableColumn id="7" name="promo_cotiming_lift" dataDxfId="5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BrandArch" displayName="BrandArch" ref="A4:E12" totalsRowShown="0">
  <autoFilter ref="A4:E12"/>
  <tableColumns count="5">
    <tableColumn id="1" name="banner"/>
    <tableColumn id="2" name="products" dataDxfId="0"/>
    <tableColumn id="3" name="pl_products" dataDxfId="0"/>
    <tableColumn id="4" name="promo_days" dataDxfId="0"/>
    <tableColumn id="5" name="pl_promo_days" dataDxfId="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BrandArchCat" displayName="BrandArchCat" ref="A16:F87" totalsRowShown="0">
  <autoFilter ref="A16:F87"/>
  <tableColumns count="6">
    <tableColumn id="1" name="banner"/>
    <tableColumn id="2" name="category"/>
    <tableColumn id="3" name="products" dataDxfId="0"/>
    <tableColumn id="4" name="pl_products" dataDxfId="0"/>
    <tableColumn id="5" name="promo_days" dataDxfId="0"/>
    <tableColumn id="6" name="pl_promo_days" dataDxfId="0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Inflation" displayName="Inflation" ref="A4:K30" totalsRowShown="0">
  <autoFilter ref="A4:K30"/>
  <tableColumns count="11">
    <tableColumn id="1" name="month" dataDxfId="2"/>
    <tableColumn id="2" name="Loblaws" dataDxfId="3"/>
    <tableColumn id="3" name="No Frills" dataDxfId="3"/>
    <tableColumn id="4" name="Metro" dataDxfId="3"/>
    <tableColumn id="5" name="Walmart" dataDxfId="3"/>
    <tableColumn id="6" name="Voilà" dataDxfId="3"/>
    <tableColumn id="7" name="T&amp;T" dataDxfId="3"/>
    <tableColumn id="8" name="Galleria" dataDxfId="3"/>
    <tableColumn id="9" name="Save-On-Foods" dataDxfId="3"/>
    <tableColumn id="10" name="CPI food from stores — Ontario" dataDxfId="3"/>
    <tableColumn id="11" name="CPI food from stores — Canada" dataDxfId="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CPI" displayName="CPI" ref="A4:E1356" totalsRowShown="0">
  <autoFilter ref="A4:E1356"/>
  <tableColumns count="5">
    <tableColumn id="1" name="month" dataDxfId="2"/>
    <tableColumn id="2" name="geo"/>
    <tableColumn id="3" name="product"/>
    <tableColumn id="4" name="value" dataDxfId="3"/>
    <tableColumn id="5" name="yoy" dataDxfId="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6" name="CPICum" displayName="CPICum" ref="H5:L11" totalsRowShown="0">
  <autoFilter ref="H5:L11"/>
  <tableColumns count="5">
    <tableColumn id="1" name="product"/>
    <tableColumn id="2" name="jan2020" dataDxfId="3"/>
    <tableColumn id="3" name="latest_month"/>
    <tableColumn id="4" name="latest" dataDxfId="3"/>
    <tableColumn id="5" name="cum_change_since_jan2020" dataDxfId="1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7" name="KVI" displayName="KVI" ref="A4:K14" totalsRowShown="0">
  <autoFilter ref="A4:K14"/>
  <tableColumns count="11">
    <tableColumn id="1" name="kvi"/>
    <tableColumn id="2" name="No Frills" dataDxfId="6"/>
    <tableColumn id="3" name="Walmart" dataDxfId="6"/>
    <tableColumn id="4" name="Loblaws" dataDxfId="6"/>
    <tableColumn id="5" name="Metro" dataDxfId="6"/>
    <tableColumn id="6" name="Voilà" dataDxfId="6"/>
    <tableColumn id="7" name="T&amp;T" dataDxfId="6"/>
    <tableColumn id="8" name="Galleria" dataDxfId="6"/>
    <tableColumn id="9" name="Save-On-Foods" dataDxfId="6"/>
    <tableColumn id="10" name="statcan_ontario_avg" dataDxfId="6"/>
    <tableColumn id="11" name="statcan_canada_avg" dataDxfId="6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8" name="KVIMatches" displayName="KVIMatches" ref="A18:F639" totalsRowShown="0">
  <autoFilter ref="A18:F639"/>
  <tableColumns count="6">
    <tableColumn id="1" name="kvi"/>
    <tableColumn id="2" name="vendor"/>
    <tableColumn id="3" name="product_name"/>
    <tableColumn id="4" name="units"/>
    <tableColumn id="5" name="brand"/>
    <tableColumn id="6" name="private_label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id="19" name="CleaningLog" displayName="CleaningLog" ref="A4:C15" totalsRowShown="0">
  <autoFilter ref="A4:C15"/>
  <tableColumns count="3">
    <tableColumn id="1" name="step"/>
    <tableColumn id="2" name="table"/>
    <tableColumn id="3" name="row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4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8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0</v>
      </c>
    </row>
    <row r="2" spans="1:2">
      <c r="A2" s="2" t="s">
        <v>1</v>
      </c>
    </row>
    <row r="4" spans="1:2" ht="18" customHeight="1">
      <c r="A4" s="3" t="s">
        <v>2</v>
      </c>
      <c r="B4" s="4" t="s">
        <v>3</v>
      </c>
    </row>
    <row r="5" spans="1:2" ht="32" customHeight="1">
      <c r="A5" s="3" t="s">
        <v>4</v>
      </c>
      <c r="B5" s="4" t="s">
        <v>5</v>
      </c>
    </row>
    <row r="6" spans="1:2" ht="32" customHeight="1">
      <c r="A6" s="3" t="s">
        <v>6</v>
      </c>
      <c r="B6" s="4" t="s">
        <v>7</v>
      </c>
    </row>
    <row r="7" spans="1:2" ht="18" customHeight="1">
      <c r="A7" s="3" t="s">
        <v>8</v>
      </c>
      <c r="B7" s="4" t="s">
        <v>9</v>
      </c>
    </row>
    <row r="8" spans="1:2" ht="32" customHeight="1">
      <c r="A8" s="3" t="s">
        <v>10</v>
      </c>
      <c r="B8" s="4" t="s">
        <v>11</v>
      </c>
    </row>
    <row r="9" spans="1:2" ht="32" customHeight="1">
      <c r="A9" s="3" t="s">
        <v>12</v>
      </c>
      <c r="B9" s="4" t="s">
        <v>13</v>
      </c>
    </row>
    <row r="10" spans="1:2" ht="32" customHeight="1">
      <c r="A10" s="3" t="s">
        <v>14</v>
      </c>
      <c r="B10" s="4" t="s">
        <v>15</v>
      </c>
    </row>
    <row r="12" spans="1:2">
      <c r="A12" s="3" t="s">
        <v>16</v>
      </c>
      <c r="B12" s="4" t="s">
        <v>17</v>
      </c>
    </row>
    <row r="13" spans="1:2">
      <c r="B13" s="4" t="s">
        <v>18</v>
      </c>
    </row>
    <row r="14" spans="1:2">
      <c r="B14" s="4" t="s">
        <v>19</v>
      </c>
    </row>
    <row r="16" spans="1:2">
      <c r="A16" s="5" t="s">
        <v>21</v>
      </c>
      <c r="B16" t="s">
        <v>22</v>
      </c>
    </row>
    <row r="17" spans="1:2">
      <c r="A17" s="5" t="s">
        <v>23</v>
      </c>
      <c r="B17" t="s">
        <v>24</v>
      </c>
    </row>
    <row r="18" spans="1:2">
      <c r="A18" s="5" t="s">
        <v>25</v>
      </c>
      <c r="B18" t="s">
        <v>26</v>
      </c>
    </row>
    <row r="19" spans="1:2">
      <c r="A19" s="5" t="s">
        <v>27</v>
      </c>
      <c r="B19" t="s">
        <v>28</v>
      </c>
    </row>
    <row r="20" spans="1:2">
      <c r="A20" s="5" t="s">
        <v>29</v>
      </c>
      <c r="B20" t="s">
        <v>30</v>
      </c>
    </row>
    <row r="21" spans="1:2">
      <c r="A21" s="5" t="s">
        <v>31</v>
      </c>
      <c r="B21" t="s">
        <v>32</v>
      </c>
    </row>
    <row r="22" spans="1:2">
      <c r="A22" s="5" t="s">
        <v>33</v>
      </c>
      <c r="B22" t="s">
        <v>34</v>
      </c>
    </row>
    <row r="23" spans="1:2">
      <c r="A23" s="5" t="s">
        <v>35</v>
      </c>
      <c r="B23" t="s">
        <v>36</v>
      </c>
    </row>
    <row r="24" spans="1:2">
      <c r="A24" s="5" t="s">
        <v>37</v>
      </c>
      <c r="B24" t="s">
        <v>38</v>
      </c>
    </row>
    <row r="25" spans="1:2">
      <c r="A25" s="5" t="s">
        <v>39</v>
      </c>
      <c r="B25" t="s">
        <v>40</v>
      </c>
    </row>
    <row r="26" spans="1:2">
      <c r="A26" s="5" t="s">
        <v>41</v>
      </c>
      <c r="B26" t="s">
        <v>42</v>
      </c>
    </row>
    <row r="27" spans="1:2">
      <c r="A27" s="5" t="s">
        <v>43</v>
      </c>
      <c r="B27" t="s">
        <v>44</v>
      </c>
    </row>
    <row r="28" spans="1:2">
      <c r="A28" s="5" t="s">
        <v>45</v>
      </c>
      <c r="B28" t="s">
        <v>46</v>
      </c>
    </row>
    <row r="29" spans="1:2">
      <c r="A29" s="5" t="s">
        <v>47</v>
      </c>
      <c r="B29" t="s">
        <v>48</v>
      </c>
    </row>
  </sheetData>
  <hyperlinks>
    <hyperlink ref="A16" location="'Dashboard'!A1" display="Dashboard"/>
    <hyperlink ref="A17" location="'Coverage'!A1" display="Coverage"/>
    <hyperlink ref="A18" location="'Banner_Index'!A1" display="Banner_Index"/>
    <hyperlink ref="A19" location="'Identical_Gaps'!A1" display="Identical_Gaps"/>
    <hyperlink ref="A20" location="'Loblaw_Siblings'!A1" display="Loblaw_Siblings"/>
    <hyperlink ref="A21" location="'Synchronisation'!A1" display="Synchronisation"/>
    <hyperlink ref="A22" location="'Lead_Lag'!A1" display="Lead_Lag"/>
    <hyperlink ref="A23" location="'Freeze_Test'!A1" display="Freeze_Test"/>
    <hyperlink ref="A24" location="'Promotions'!A1" display="Promotions"/>
    <hyperlink ref="A25" location="'Brand_Architecture'!A1" display="Brand_Architecture"/>
    <hyperlink ref="A26" location="'Inflation'!A1" display="Inflation"/>
    <hyperlink ref="A27" location="'StatCan_CPI'!A1" display="StatCan_CPI"/>
    <hyperlink ref="A28" location="'KVI_Prices'!A1" display="KVI_Prices"/>
    <hyperlink ref="A29" location="'Cleaning_Log'!A1" display="Cleaning_Lo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showGridLines="0" tabSelected="1" workbookViewId="0"/>
  </sheetViews>
  <sheetFormatPr defaultRowHeight="15"/>
  <cols>
    <col min="1" max="1" width="4.7109375" customWidth="1"/>
    <col min="2" max="2" width="18.7109375" customWidth="1"/>
    <col min="3" max="3" width="80.7109375" customWidth="1"/>
  </cols>
  <sheetData>
    <row r="1" spans="1:3">
      <c r="A1" s="1" t="s">
        <v>831</v>
      </c>
    </row>
    <row r="2" spans="1:3">
      <c r="A2" s="2" t="s">
        <v>832</v>
      </c>
    </row>
    <row r="4" spans="1:3" ht="30" customHeight="1">
      <c r="B4" s="6">
        <f>Identical_Gaps!G5</f>
        <v>0.1253132832080201</v>
      </c>
      <c r="C4" s="4" t="s">
        <v>833</v>
      </c>
    </row>
    <row r="6" spans="1:3" ht="30" customHeight="1">
      <c r="B6" s="6">
        <f>Identical_Gaps!M6</f>
        <v>0.4036272356169013</v>
      </c>
      <c r="C6" s="4" t="s">
        <v>834</v>
      </c>
    </row>
    <row r="8" spans="1:3" ht="30" customHeight="1">
      <c r="B8" s="6">
        <f>Identical_Gaps!M8</f>
        <v>0.0010666197762892</v>
      </c>
      <c r="C8" s="4" t="s">
        <v>835</v>
      </c>
    </row>
    <row r="10" spans="1:3" ht="30" customHeight="1">
      <c r="B10" s="7">
        <f>Banner_Index!B5-Banner_Index!B7</f>
        <v>23.470701372466834</v>
      </c>
      <c r="C10" s="4" t="s">
        <v>836</v>
      </c>
    </row>
    <row r="12" spans="1:3" ht="30" customHeight="1">
      <c r="B12" s="8">
        <f>Synchronisation!N5</f>
        <v>1.9457164259450987</v>
      </c>
      <c r="C12" s="4" t="s">
        <v>837</v>
      </c>
    </row>
    <row r="14" spans="1:3" ht="30" customHeight="1">
      <c r="B14" s="8">
        <f>Synchronisation!N7</f>
        <v>0.8840091383127446</v>
      </c>
      <c r="C14" s="4" t="s">
        <v>838</v>
      </c>
    </row>
    <row r="16" spans="1:3" ht="30" customHeight="1">
      <c r="B16" s="8">
        <f>Freeze_Test!D5</f>
        <v>0.9684224257151491</v>
      </c>
      <c r="C16" s="4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showGridLines="0" workbookViewId="0"/>
  </sheetViews>
  <sheetFormatPr defaultRowHeight="15"/>
  <cols>
    <col min="1" max="1" width="11.7109375" customWidth="1"/>
    <col min="2" max="2" width="20.7109375" customWidth="1"/>
    <col min="3" max="3" width="40.7109375" customWidth="1"/>
    <col min="4" max="4" width="11.7109375" customWidth="1"/>
    <col min="5" max="5" width="14.7109375" customWidth="1"/>
    <col min="6" max="8" width="11.7109375" customWidth="1"/>
    <col min="9" max="9" width="13.7109375" customWidth="1"/>
    <col min="10" max="10" width="20.7109375" customWidth="1"/>
  </cols>
  <sheetData>
    <row r="1" spans="1:10">
      <c r="A1" s="1" t="s">
        <v>49</v>
      </c>
    </row>
    <row r="2" spans="1:10">
      <c r="A2" s="2" t="s">
        <v>50</v>
      </c>
    </row>
    <row r="4" spans="1:10" ht="32" customHeight="1">
      <c r="A4" s="9" t="s">
        <v>51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</row>
    <row r="5" spans="1:10">
      <c r="A5" t="s">
        <v>61</v>
      </c>
      <c r="B5" t="s">
        <v>62</v>
      </c>
      <c r="C5" t="s">
        <v>63</v>
      </c>
      <c r="D5" s="10">
        <v>32155</v>
      </c>
      <c r="E5" s="10">
        <v>12445186</v>
      </c>
      <c r="F5" s="10">
        <v>924</v>
      </c>
      <c r="G5" t="s">
        <v>64</v>
      </c>
      <c r="H5" t="s">
        <v>65</v>
      </c>
      <c r="I5" s="11">
        <v>0.2565481142668337</v>
      </c>
      <c r="J5" s="10">
        <v>12500</v>
      </c>
    </row>
    <row r="6" spans="1:10">
      <c r="A6" t="s">
        <v>66</v>
      </c>
      <c r="B6" t="s">
        <v>62</v>
      </c>
      <c r="C6" t="s">
        <v>67</v>
      </c>
      <c r="D6" s="10">
        <v>24792</v>
      </c>
      <c r="E6" s="10">
        <v>9628144</v>
      </c>
      <c r="F6" s="10">
        <v>924</v>
      </c>
      <c r="G6" t="s">
        <v>64</v>
      </c>
      <c r="H6" t="s">
        <v>65</v>
      </c>
      <c r="I6" s="11">
        <v>0.1376916464897076</v>
      </c>
      <c r="J6" s="10">
        <v>12721</v>
      </c>
    </row>
    <row r="7" spans="1:10">
      <c r="A7" t="s">
        <v>68</v>
      </c>
      <c r="B7" t="s">
        <v>62</v>
      </c>
      <c r="C7" t="s">
        <v>69</v>
      </c>
      <c r="D7" s="10">
        <v>13581</v>
      </c>
      <c r="E7" s="10">
        <v>5535988</v>
      </c>
      <c r="F7" s="10">
        <v>929</v>
      </c>
      <c r="G7" t="s">
        <v>64</v>
      </c>
      <c r="H7" t="s">
        <v>65</v>
      </c>
      <c r="I7" s="11">
        <v>0.0692394925711544</v>
      </c>
      <c r="J7" s="10">
        <v>302</v>
      </c>
    </row>
    <row r="8" spans="1:10">
      <c r="A8" t="s">
        <v>70</v>
      </c>
      <c r="B8" t="s">
        <v>71</v>
      </c>
      <c r="C8" t="s">
        <v>72</v>
      </c>
      <c r="D8" s="10">
        <v>26715</v>
      </c>
      <c r="E8" s="10">
        <v>11508068</v>
      </c>
      <c r="F8" s="10">
        <v>924</v>
      </c>
      <c r="G8" t="s">
        <v>64</v>
      </c>
      <c r="H8" t="s">
        <v>65</v>
      </c>
      <c r="I8" s="11">
        <v>0.1920026020006138</v>
      </c>
      <c r="J8" s="10">
        <v>1288</v>
      </c>
    </row>
    <row r="9" spans="1:10">
      <c r="A9" t="s">
        <v>73</v>
      </c>
      <c r="B9" t="s">
        <v>74</v>
      </c>
      <c r="C9" t="s">
        <v>75</v>
      </c>
      <c r="D9" s="10">
        <v>26380</v>
      </c>
      <c r="E9" s="10">
        <v>7065868</v>
      </c>
      <c r="F9" s="10">
        <v>933</v>
      </c>
      <c r="G9" t="s">
        <v>64</v>
      </c>
      <c r="H9" t="s">
        <v>65</v>
      </c>
      <c r="I9" s="11">
        <v>0.3380896727762251</v>
      </c>
      <c r="J9" s="10">
        <v>19564</v>
      </c>
    </row>
    <row r="10" spans="1:10">
      <c r="A10" t="s">
        <v>76</v>
      </c>
      <c r="B10" t="s">
        <v>77</v>
      </c>
      <c r="C10" t="s">
        <v>78</v>
      </c>
      <c r="D10" s="10">
        <v>37217</v>
      </c>
      <c r="E10" s="10">
        <v>5459747</v>
      </c>
      <c r="F10" s="10">
        <v>865</v>
      </c>
      <c r="G10" t="s">
        <v>79</v>
      </c>
      <c r="H10" t="s">
        <v>65</v>
      </c>
      <c r="I10" s="11">
        <v>0.1939657643476886</v>
      </c>
      <c r="J10" s="10">
        <v>10943</v>
      </c>
    </row>
    <row r="11" spans="1:10">
      <c r="A11" t="s">
        <v>80</v>
      </c>
      <c r="B11" t="s">
        <v>81</v>
      </c>
      <c r="C11" t="s">
        <v>82</v>
      </c>
      <c r="D11" s="10">
        <v>10705</v>
      </c>
      <c r="E11" s="10">
        <v>6211793</v>
      </c>
      <c r="F11" s="10">
        <v>930</v>
      </c>
      <c r="G11" t="s">
        <v>64</v>
      </c>
      <c r="H11" t="s">
        <v>65</v>
      </c>
      <c r="I11" s="11">
        <v>0.008899684841397601</v>
      </c>
      <c r="J11" s="10">
        <v>9219</v>
      </c>
    </row>
    <row r="12" spans="1:10">
      <c r="A12" t="s">
        <v>83</v>
      </c>
      <c r="B12" t="s">
        <v>84</v>
      </c>
      <c r="C12" t="s">
        <v>85</v>
      </c>
      <c r="D12" s="10">
        <v>15460</v>
      </c>
      <c r="E12" s="10">
        <v>6595940</v>
      </c>
      <c r="F12" s="10">
        <v>718</v>
      </c>
      <c r="G12" t="s">
        <v>86</v>
      </c>
      <c r="H12" t="s">
        <v>65</v>
      </c>
      <c r="I12" s="11">
        <v>0.3336332653116917</v>
      </c>
      <c r="J12" s="10">
        <v>15180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showGridLines="0" workbookViewId="0"/>
  </sheetViews>
  <sheetFormatPr defaultRowHeight="15"/>
  <cols>
    <col min="1" max="1" width="14.7109375" customWidth="1"/>
    <col min="2" max="4" width="16.7109375" customWidth="1"/>
    <col min="9" max="10" width="11.7109375" customWidth="1"/>
    <col min="11" max="11" width="14.7109375" customWidth="1"/>
    <col min="12" max="12" width="15.7109375" customWidth="1"/>
    <col min="13" max="13" width="13.7109375" customWidth="1"/>
    <col min="14" max="14" width="23.7109375" customWidth="1"/>
  </cols>
  <sheetData>
    <row r="1" spans="1:14">
      <c r="A1" s="1" t="s">
        <v>87</v>
      </c>
    </row>
    <row r="2" spans="1:14">
      <c r="A2" s="2" t="s">
        <v>88</v>
      </c>
    </row>
    <row r="4" spans="1:14" ht="45" customHeight="1">
      <c r="A4" s="9" t="s">
        <v>94</v>
      </c>
      <c r="B4" s="9" t="s">
        <v>95</v>
      </c>
      <c r="C4" s="9" t="s">
        <v>96</v>
      </c>
      <c r="D4" s="9" t="s">
        <v>97</v>
      </c>
      <c r="I4" s="9" t="s">
        <v>89</v>
      </c>
      <c r="J4" s="9" t="s">
        <v>51</v>
      </c>
      <c r="K4" s="9" t="s">
        <v>90</v>
      </c>
      <c r="L4" s="9" t="s">
        <v>91</v>
      </c>
      <c r="M4" s="9" t="s">
        <v>92</v>
      </c>
      <c r="N4" s="9" t="s">
        <v>93</v>
      </c>
    </row>
    <row r="5" spans="1:14">
      <c r="A5" s="3" t="s">
        <v>73</v>
      </c>
      <c r="B5" s="12">
        <f>AVERAGEIFS(L5:L132,J5:J132,A5,I5:I132,"&gt;="&amp;DATE(2024,8,1))</f>
        <v>113.33930171995392</v>
      </c>
      <c r="C5" s="12">
        <f>AVERAGEIFS(N5:N132,J5:J132,A5,I5:I132,"&gt;="&amp;DATE(2024,8,1))</f>
        <v>102.2172294085497</v>
      </c>
      <c r="D5" s="11">
        <f>1-C5/B5</f>
        <v>0.0981307643740858</v>
      </c>
      <c r="I5" s="13">
        <v>45352</v>
      </c>
      <c r="J5" t="s">
        <v>61</v>
      </c>
      <c r="K5" s="10">
        <v>32</v>
      </c>
      <c r="L5" s="12">
        <v>95.78178585101131</v>
      </c>
      <c r="M5" s="12">
        <v>107.6276157100103</v>
      </c>
      <c r="N5" s="12">
        <v>109.2630290980069</v>
      </c>
    </row>
    <row r="6" spans="1:14">
      <c r="A6" s="3" t="s">
        <v>61</v>
      </c>
      <c r="B6" s="12">
        <f>AVERAGEIFS(L5:L132,J5:J132,A6,I5:I132,"&gt;="&amp;DATE(2024,8,1))</f>
        <v>109.70275848902604</v>
      </c>
      <c r="C6" s="12">
        <f>AVERAGEIFS(N5:N132,J5:J132,A6,I5:I132,"&gt;="&amp;DATE(2024,8,1))</f>
        <v>99.73159556090611</v>
      </c>
      <c r="D6" s="11">
        <f>1-C6/B6</f>
        <v>0.0908925451415824</v>
      </c>
      <c r="I6" s="13">
        <v>45352</v>
      </c>
      <c r="J6" t="s">
        <v>73</v>
      </c>
      <c r="K6" s="10">
        <v>32</v>
      </c>
      <c r="L6" s="12">
        <v>129.2889388438499</v>
      </c>
      <c r="M6" s="12">
        <v>121.0772200632063</v>
      </c>
      <c r="N6" s="12">
        <v>122.9170016598394</v>
      </c>
    </row>
    <row r="7" spans="1:14">
      <c r="A7" s="3" t="s">
        <v>66</v>
      </c>
      <c r="B7" s="12">
        <f>AVERAGEIFS(L5:L132,J5:J132,A7,I5:I132,"&gt;="&amp;DATE(2024,8,1))</f>
        <v>89.86860034748709</v>
      </c>
      <c r="C7" s="12">
        <f>AVERAGEIFS(N5:N132,J5:J132,A7,I5:I132,"&gt;="&amp;DATE(2024,8,1))</f>
        <v>85.8103135687121</v>
      </c>
      <c r="D7" s="11">
        <f>1-C7/B7</f>
        <v>0.0451580058338859</v>
      </c>
      <c r="I7" s="13">
        <v>45352</v>
      </c>
      <c r="J7" t="s">
        <v>66</v>
      </c>
      <c r="K7" s="10">
        <v>32</v>
      </c>
      <c r="L7" s="12">
        <v>73.3404526421981</v>
      </c>
      <c r="M7" s="12">
        <v>77.69661447768478</v>
      </c>
      <c r="N7" s="12">
        <v>78.87722302950093</v>
      </c>
    </row>
    <row r="8" spans="1:14">
      <c r="A8" s="3" t="s">
        <v>76</v>
      </c>
      <c r="B8" s="12">
        <f>AVERAGEIFS(L5:L132,J5:J132,A8,I5:I132,"&gt;="&amp;DATE(2024,8,1))</f>
        <v>89.52058733994721</v>
      </c>
      <c r="C8" s="12">
        <f>AVERAGEIFS(N5:N132,J5:J132,A8,I5:I132,"&gt;="&amp;DATE(2024,8,1))</f>
        <v>82.97099166709329</v>
      </c>
      <c r="D8" s="11">
        <f>1-C8/B8</f>
        <v>0.073163010514915</v>
      </c>
      <c r="I8" s="13">
        <v>45352</v>
      </c>
      <c r="J8" t="s">
        <v>76</v>
      </c>
      <c r="K8" s="10">
        <v>32</v>
      </c>
      <c r="L8" s="12">
        <v>110.1062857901415</v>
      </c>
      <c r="M8" s="12">
        <v>98.76697309749464</v>
      </c>
      <c r="N8" s="12">
        <v>100.2677480522308</v>
      </c>
    </row>
    <row r="9" spans="1:14">
      <c r="I9" s="13">
        <v>45383</v>
      </c>
      <c r="J9" t="s">
        <v>61</v>
      </c>
      <c r="K9" s="10">
        <v>38</v>
      </c>
      <c r="L9" s="12">
        <v>100.8803143543486</v>
      </c>
      <c r="M9" s="12">
        <v>102.848495525295</v>
      </c>
      <c r="N9" s="12">
        <v>98.14818571235</v>
      </c>
    </row>
    <row r="10" spans="1:14">
      <c r="A10" s="3" t="s">
        <v>98</v>
      </c>
      <c r="I10" s="13">
        <v>45383</v>
      </c>
      <c r="J10" t="s">
        <v>73</v>
      </c>
      <c r="K10" s="10">
        <v>38</v>
      </c>
      <c r="L10" s="12">
        <v>109.412689998711</v>
      </c>
      <c r="M10" s="12">
        <v>109.498584233296</v>
      </c>
      <c r="N10" s="12">
        <v>104.4943567300481</v>
      </c>
    </row>
    <row r="11" spans="1:14">
      <c r="A11" s="9" t="s">
        <v>89</v>
      </c>
      <c r="B11" s="9" t="s">
        <v>73</v>
      </c>
      <c r="C11" s="9" t="s">
        <v>61</v>
      </c>
      <c r="D11" s="9" t="s">
        <v>66</v>
      </c>
      <c r="E11" s="9" t="s">
        <v>76</v>
      </c>
      <c r="I11" s="13">
        <v>45383</v>
      </c>
      <c r="J11" t="s">
        <v>66</v>
      </c>
      <c r="K11" s="10">
        <v>38</v>
      </c>
      <c r="L11" s="12">
        <v>97.41790810506107</v>
      </c>
      <c r="M11" s="12">
        <v>97.37598346502423</v>
      </c>
      <c r="N11" s="12">
        <v>92.92577456028384</v>
      </c>
    </row>
    <row r="12" spans="1:14">
      <c r="A12" s="13">
        <v>45352</v>
      </c>
      <c r="B12" s="12">
        <v>129.2889388438499</v>
      </c>
      <c r="C12" s="12">
        <v>95.78178585101131</v>
      </c>
      <c r="D12" s="12">
        <v>73.3404526421981</v>
      </c>
      <c r="E12" s="12">
        <v>110.1062857901415</v>
      </c>
      <c r="I12" s="13">
        <v>45383</v>
      </c>
      <c r="J12" t="s">
        <v>76</v>
      </c>
      <c r="K12" s="10">
        <v>38</v>
      </c>
      <c r="L12" s="12">
        <v>93.00088427021112</v>
      </c>
      <c r="M12" s="12">
        <v>91.18884099726328</v>
      </c>
      <c r="N12" s="12">
        <v>87.02139253842704</v>
      </c>
    </row>
    <row r="13" spans="1:14">
      <c r="A13" s="13">
        <v>45383</v>
      </c>
      <c r="B13" s="12">
        <v>109.412689998711</v>
      </c>
      <c r="C13" s="12">
        <v>100.8803143543486</v>
      </c>
      <c r="D13" s="12">
        <v>97.41790810506107</v>
      </c>
      <c r="E13" s="12">
        <v>93.00088427021112</v>
      </c>
      <c r="I13" s="13">
        <v>45413</v>
      </c>
      <c r="J13" t="s">
        <v>61</v>
      </c>
      <c r="K13" s="10">
        <v>44</v>
      </c>
      <c r="L13" s="12">
        <v>101.4173990058698</v>
      </c>
      <c r="M13" s="12">
        <v>102.4108992061804</v>
      </c>
      <c r="N13" s="12">
        <v>98.43036872280165</v>
      </c>
    </row>
    <row r="14" spans="1:14">
      <c r="A14" s="13">
        <v>45413</v>
      </c>
      <c r="B14" s="12">
        <v>110.4590558219925</v>
      </c>
      <c r="C14" s="12">
        <v>101.4173990058698</v>
      </c>
      <c r="D14" s="12">
        <v>95.84673716985655</v>
      </c>
      <c r="E14" s="12">
        <v>93.13413212988428</v>
      </c>
      <c r="I14" s="13">
        <v>45413</v>
      </c>
      <c r="J14" t="s">
        <v>73</v>
      </c>
      <c r="K14" s="10">
        <v>44</v>
      </c>
      <c r="L14" s="12">
        <v>110.4590558219925</v>
      </c>
      <c r="M14" s="12">
        <v>109.3364283913673</v>
      </c>
      <c r="N14" s="12">
        <v>105.0867148400842</v>
      </c>
    </row>
    <row r="15" spans="1:14">
      <c r="A15" s="13">
        <v>45444</v>
      </c>
      <c r="B15" s="12">
        <v>111.5210366023945</v>
      </c>
      <c r="C15" s="12">
        <v>105.9034880093522</v>
      </c>
      <c r="D15" s="12">
        <v>92.82968881205971</v>
      </c>
      <c r="E15" s="12">
        <v>91.21075353621464</v>
      </c>
      <c r="I15" s="13">
        <v>45413</v>
      </c>
      <c r="J15" t="s">
        <v>66</v>
      </c>
      <c r="K15" s="10">
        <v>44</v>
      </c>
      <c r="L15" s="12">
        <v>95.84673716985655</v>
      </c>
      <c r="M15" s="12">
        <v>96.40338274890038</v>
      </c>
      <c r="N15" s="12">
        <v>92.65635380269164</v>
      </c>
    </row>
    <row r="16" spans="1:14">
      <c r="A16" s="13">
        <v>45474</v>
      </c>
      <c r="B16" s="12">
        <v>111.3338429405718</v>
      </c>
      <c r="C16" s="12">
        <v>106.6467903283768</v>
      </c>
      <c r="D16" s="12">
        <v>92.06406120591564</v>
      </c>
      <c r="E16" s="12">
        <v>91.48183802642848</v>
      </c>
      <c r="I16" s="13">
        <v>45413</v>
      </c>
      <c r="J16" t="s">
        <v>76</v>
      </c>
      <c r="K16" s="10">
        <v>44</v>
      </c>
      <c r="L16" s="12">
        <v>93.13413212988428</v>
      </c>
      <c r="M16" s="12">
        <v>92.63959850799856</v>
      </c>
      <c r="N16" s="12">
        <v>89.03886119695657</v>
      </c>
    </row>
    <row r="17" spans="1:14">
      <c r="A17" s="13">
        <v>45505</v>
      </c>
      <c r="B17" s="12">
        <v>112.3586862230721</v>
      </c>
      <c r="C17" s="12">
        <v>106.1797100924774</v>
      </c>
      <c r="D17" s="12">
        <v>91.9458046790939</v>
      </c>
      <c r="E17" s="12">
        <v>91.16326990084674</v>
      </c>
      <c r="I17" s="13">
        <v>45444</v>
      </c>
      <c r="J17" t="s">
        <v>61</v>
      </c>
      <c r="K17" s="10">
        <v>675</v>
      </c>
      <c r="L17" s="12">
        <v>105.9034880093522</v>
      </c>
      <c r="M17" s="12">
        <v>110.3245507133879</v>
      </c>
      <c r="N17" s="12">
        <v>103.9519085920859</v>
      </c>
    </row>
    <row r="18" spans="1:14">
      <c r="A18" s="13">
        <v>45536</v>
      </c>
      <c r="B18" s="12">
        <v>112.006524115354</v>
      </c>
      <c r="C18" s="12">
        <v>108.4320667766925</v>
      </c>
      <c r="D18" s="12">
        <v>90.81995569918976</v>
      </c>
      <c r="E18" s="12">
        <v>90.66040576746076</v>
      </c>
      <c r="I18" s="13">
        <v>45444</v>
      </c>
      <c r="J18" t="s">
        <v>73</v>
      </c>
      <c r="K18" s="10">
        <v>675</v>
      </c>
      <c r="L18" s="12">
        <v>111.5210366023945</v>
      </c>
      <c r="M18" s="12">
        <v>107.2117587932286</v>
      </c>
      <c r="N18" s="12">
        <v>101.0189198868682</v>
      </c>
    </row>
    <row r="19" spans="1:14">
      <c r="A19" s="13">
        <v>45566</v>
      </c>
      <c r="B19" s="12">
        <v>111.9169556894405</v>
      </c>
      <c r="C19" s="12">
        <v>109.2678808804829</v>
      </c>
      <c r="D19" s="12">
        <v>90.49070174104688</v>
      </c>
      <c r="E19" s="12">
        <v>90.36653605959177</v>
      </c>
      <c r="I19" s="13">
        <v>45444</v>
      </c>
      <c r="J19" t="s">
        <v>66</v>
      </c>
      <c r="K19" s="10">
        <v>675</v>
      </c>
      <c r="L19" s="12">
        <v>92.82968881205971</v>
      </c>
      <c r="M19" s="12">
        <v>95.5860191980874</v>
      </c>
      <c r="N19" s="12">
        <v>90.06471421011796</v>
      </c>
    </row>
    <row r="20" spans="1:14">
      <c r="A20" s="13">
        <v>45597</v>
      </c>
      <c r="B20" s="12">
        <v>111.7532115584476</v>
      </c>
      <c r="C20" s="12">
        <v>109.0951970099757</v>
      </c>
      <c r="D20" s="12">
        <v>90.28470436711858</v>
      </c>
      <c r="E20" s="12">
        <v>90.84900518882624</v>
      </c>
      <c r="I20" s="13">
        <v>45444</v>
      </c>
      <c r="J20" t="s">
        <v>76</v>
      </c>
      <c r="K20" s="10">
        <v>675</v>
      </c>
      <c r="L20" s="12">
        <v>91.21075353621464</v>
      </c>
      <c r="M20" s="12">
        <v>88.44861497843284</v>
      </c>
      <c r="N20" s="12">
        <v>83.33958561246068</v>
      </c>
    </row>
    <row r="21" spans="1:14">
      <c r="A21" s="13">
        <v>45627</v>
      </c>
      <c r="B21" s="12">
        <v>112.1934078563221</v>
      </c>
      <c r="C21" s="12">
        <v>109.7809570474252</v>
      </c>
      <c r="D21" s="12">
        <v>89.52967946109138</v>
      </c>
      <c r="E21" s="12">
        <v>90.68565997873284</v>
      </c>
      <c r="I21" s="13">
        <v>45474</v>
      </c>
      <c r="J21" t="s">
        <v>61</v>
      </c>
      <c r="K21" s="10">
        <v>734</v>
      </c>
      <c r="L21" s="12">
        <v>106.6467903283768</v>
      </c>
      <c r="M21" s="12">
        <v>111.0426077164622</v>
      </c>
      <c r="N21" s="12">
        <v>104.9860854880419</v>
      </c>
    </row>
    <row r="22" spans="1:14">
      <c r="A22" s="13">
        <v>45658</v>
      </c>
      <c r="B22" s="12">
        <v>111.7911024638305</v>
      </c>
      <c r="C22" s="12">
        <v>109.4359614434029</v>
      </c>
      <c r="D22" s="12">
        <v>90.65773070802136</v>
      </c>
      <c r="E22" s="12">
        <v>90.1628973821656</v>
      </c>
      <c r="I22" s="13">
        <v>45474</v>
      </c>
      <c r="J22" t="s">
        <v>73</v>
      </c>
      <c r="K22" s="10">
        <v>734</v>
      </c>
      <c r="L22" s="12">
        <v>111.3338429405718</v>
      </c>
      <c r="M22" s="12">
        <v>107.3696218926557</v>
      </c>
      <c r="N22" s="12">
        <v>101.5134328583491</v>
      </c>
    </row>
    <row r="23" spans="1:14">
      <c r="A23" s="13">
        <v>45689</v>
      </c>
      <c r="B23" s="12">
        <v>111.8916939361966</v>
      </c>
      <c r="C23" s="12">
        <v>109.8940318403145</v>
      </c>
      <c r="D23" s="12">
        <v>89.8839579202474</v>
      </c>
      <c r="E23" s="12">
        <v>90.4785967219523</v>
      </c>
      <c r="I23" s="13">
        <v>45474</v>
      </c>
      <c r="J23" t="s">
        <v>66</v>
      </c>
      <c r="K23" s="10">
        <v>734</v>
      </c>
      <c r="L23" s="12">
        <v>92.06406120591564</v>
      </c>
      <c r="M23" s="12">
        <v>93.91303174553587</v>
      </c>
      <c r="N23" s="12">
        <v>88.79079645223726</v>
      </c>
    </row>
    <row r="24" spans="1:14">
      <c r="A24" s="13">
        <v>45717</v>
      </c>
      <c r="B24" s="12">
        <v>111.6463176551817</v>
      </c>
      <c r="C24" s="12">
        <v>110.1871340603839</v>
      </c>
      <c r="D24" s="12">
        <v>90.664087131458</v>
      </c>
      <c r="E24" s="12">
        <v>89.65807619236161</v>
      </c>
      <c r="I24" s="13">
        <v>45474</v>
      </c>
      <c r="J24" t="s">
        <v>76</v>
      </c>
      <c r="K24" s="10">
        <v>734</v>
      </c>
      <c r="L24" s="12">
        <v>91.48183802642848</v>
      </c>
      <c r="M24" s="12">
        <v>89.31061155899275</v>
      </c>
      <c r="N24" s="12">
        <v>84.43940297280733</v>
      </c>
    </row>
    <row r="25" spans="1:14">
      <c r="A25" s="13">
        <v>45748</v>
      </c>
      <c r="B25" s="12">
        <v>112.5562469988942</v>
      </c>
      <c r="C25" s="12">
        <v>110.0901159532195</v>
      </c>
      <c r="D25" s="12">
        <v>90.963268656767</v>
      </c>
      <c r="E25" s="12">
        <v>88.71887154641834</v>
      </c>
      <c r="I25" s="13">
        <v>45505</v>
      </c>
      <c r="J25" t="s">
        <v>61</v>
      </c>
      <c r="K25" s="10">
        <v>831</v>
      </c>
      <c r="L25" s="12">
        <v>106.1797100924774</v>
      </c>
      <c r="M25" s="12">
        <v>111.103829615224</v>
      </c>
      <c r="N25" s="12">
        <v>104.4821118210445</v>
      </c>
    </row>
    <row r="26" spans="1:14">
      <c r="A26" s="13">
        <v>45778</v>
      </c>
      <c r="B26" s="12">
        <v>113.3260137450756</v>
      </c>
      <c r="C26" s="12">
        <v>110.501196948398</v>
      </c>
      <c r="D26" s="12">
        <v>90.87356512476543</v>
      </c>
      <c r="E26" s="12">
        <v>87.87510126507149</v>
      </c>
      <c r="I26" s="13">
        <v>45505</v>
      </c>
      <c r="J26" t="s">
        <v>73</v>
      </c>
      <c r="K26" s="10">
        <v>831</v>
      </c>
      <c r="L26" s="12">
        <v>112.3586862230721</v>
      </c>
      <c r="M26" s="12">
        <v>108.623350209382</v>
      </c>
      <c r="N26" s="12">
        <v>102.1494674149199</v>
      </c>
    </row>
    <row r="27" spans="1:14">
      <c r="A27" s="13">
        <v>45809</v>
      </c>
      <c r="B27" s="12">
        <v>113.4299133784435</v>
      </c>
      <c r="C27" s="12">
        <v>110.4360749074947</v>
      </c>
      <c r="D27" s="12">
        <v>90.43666776900888</v>
      </c>
      <c r="E27" s="12">
        <v>88.27076389199068</v>
      </c>
      <c r="I27" s="13">
        <v>45505</v>
      </c>
      <c r="J27" t="s">
        <v>66</v>
      </c>
      <c r="K27" s="10">
        <v>831</v>
      </c>
      <c r="L27" s="12">
        <v>91.9458046790939</v>
      </c>
      <c r="M27" s="12">
        <v>92.9224764896975</v>
      </c>
      <c r="N27" s="12">
        <v>87.38435581301171</v>
      </c>
    </row>
    <row r="28" spans="1:14">
      <c r="A28" s="13">
        <v>45839</v>
      </c>
      <c r="B28" s="12">
        <v>113.5303774178251</v>
      </c>
      <c r="C28" s="12">
        <v>110.4117440177123</v>
      </c>
      <c r="D28" s="12">
        <v>90.16707787521958</v>
      </c>
      <c r="E28" s="12">
        <v>88.47583156782771</v>
      </c>
      <c r="I28" s="13">
        <v>45505</v>
      </c>
      <c r="J28" t="s">
        <v>76</v>
      </c>
      <c r="K28" s="10">
        <v>831</v>
      </c>
      <c r="L28" s="12">
        <v>91.16326990084674</v>
      </c>
      <c r="M28" s="12">
        <v>89.17169093344128</v>
      </c>
      <c r="N28" s="12">
        <v>83.85711469753694</v>
      </c>
    </row>
    <row r="29" spans="1:14">
      <c r="A29" s="13">
        <v>45870</v>
      </c>
      <c r="B29" s="12">
        <v>113.5885734746259</v>
      </c>
      <c r="C29" s="12">
        <v>109.8302539749423</v>
      </c>
      <c r="D29" s="12">
        <v>90.04509625512931</v>
      </c>
      <c r="E29" s="12">
        <v>89.01912068032659</v>
      </c>
      <c r="I29" s="13">
        <v>45536</v>
      </c>
      <c r="J29" t="s">
        <v>61</v>
      </c>
      <c r="K29" s="10">
        <v>2008</v>
      </c>
      <c r="L29" s="12">
        <v>108.4320667766925</v>
      </c>
      <c r="M29" s="12">
        <v>108.8625131599735</v>
      </c>
      <c r="N29" s="12">
        <v>99.89892608824998</v>
      </c>
    </row>
    <row r="30" spans="1:14">
      <c r="A30" s="13">
        <v>45901</v>
      </c>
      <c r="B30" s="12">
        <v>109.2551607542658</v>
      </c>
      <c r="C30" s="12">
        <v>109.8385298588772</v>
      </c>
      <c r="D30" s="12">
        <v>88.90007295453209</v>
      </c>
      <c r="E30" s="12">
        <v>93.73487635234974</v>
      </c>
      <c r="I30" s="13">
        <v>45536</v>
      </c>
      <c r="J30" t="s">
        <v>73</v>
      </c>
      <c r="K30" s="10">
        <v>2008</v>
      </c>
      <c r="L30" s="12">
        <v>112.006524115354</v>
      </c>
      <c r="M30" s="12">
        <v>109.2411457302741</v>
      </c>
      <c r="N30" s="12">
        <v>100.2463825822911</v>
      </c>
    </row>
    <row r="31" spans="1:14">
      <c r="A31" s="13">
        <v>45931</v>
      </c>
      <c r="B31" s="12">
        <v>111.4223626020523</v>
      </c>
      <c r="C31" s="12">
        <v>110.1818412952914</v>
      </c>
      <c r="D31" s="12">
        <v>89.20289289639373</v>
      </c>
      <c r="E31" s="12">
        <v>91.31427434356726</v>
      </c>
      <c r="I31" s="13">
        <v>45536</v>
      </c>
      <c r="J31" t="s">
        <v>66</v>
      </c>
      <c r="K31" s="10">
        <v>2008</v>
      </c>
      <c r="L31" s="12">
        <v>90.81995569918976</v>
      </c>
      <c r="M31" s="12">
        <v>93.94517723074593</v>
      </c>
      <c r="N31" s="12">
        <v>86.20986273512297</v>
      </c>
    </row>
    <row r="32" spans="1:14">
      <c r="A32" s="13">
        <v>45962</v>
      </c>
      <c r="B32" s="12">
        <v>113.0602574198195</v>
      </c>
      <c r="C32" s="12">
        <v>109.3777910161646</v>
      </c>
      <c r="D32" s="12">
        <v>89.50635074183137</v>
      </c>
      <c r="E32" s="12">
        <v>90.34560510704148</v>
      </c>
      <c r="I32" s="13">
        <v>45536</v>
      </c>
      <c r="J32" t="s">
        <v>76</v>
      </c>
      <c r="K32" s="10">
        <v>2008</v>
      </c>
      <c r="L32" s="12">
        <v>90.66040576746076</v>
      </c>
      <c r="M32" s="12">
        <v>89.50780508411339</v>
      </c>
      <c r="N32" s="12">
        <v>82.13785760466003</v>
      </c>
    </row>
    <row r="33" spans="1:14">
      <c r="A33" s="13">
        <v>45992</v>
      </c>
      <c r="B33" s="12">
        <v>113.8053335580159</v>
      </c>
      <c r="C33" s="12">
        <v>109.0691079867696</v>
      </c>
      <c r="D33" s="12">
        <v>88.98617229676837</v>
      </c>
      <c r="E33" s="12">
        <v>90.53428925812018</v>
      </c>
      <c r="I33" s="13">
        <v>45566</v>
      </c>
      <c r="J33" t="s">
        <v>61</v>
      </c>
      <c r="K33" s="10">
        <v>1764</v>
      </c>
      <c r="L33" s="12">
        <v>109.2678808804829</v>
      </c>
      <c r="M33" s="12">
        <v>108.6660188220301</v>
      </c>
      <c r="N33" s="12">
        <v>99.26123901171972</v>
      </c>
    </row>
    <row r="34" spans="1:14">
      <c r="A34" s="13">
        <v>46023</v>
      </c>
      <c r="B34" s="12">
        <v>113.4541955272437</v>
      </c>
      <c r="C34" s="12">
        <v>110.0857469054615</v>
      </c>
      <c r="D34" s="12">
        <v>89.71327189235549</v>
      </c>
      <c r="E34" s="12">
        <v>89.24659385895552</v>
      </c>
      <c r="I34" s="13">
        <v>45566</v>
      </c>
      <c r="J34" t="s">
        <v>73</v>
      </c>
      <c r="K34" s="10">
        <v>1764</v>
      </c>
      <c r="L34" s="12">
        <v>111.9169556894405</v>
      </c>
      <c r="M34" s="12">
        <v>109.3156205603121</v>
      </c>
      <c r="N34" s="12">
        <v>99.8546192984462</v>
      </c>
    </row>
    <row r="35" spans="1:14">
      <c r="A35" s="13">
        <v>46054</v>
      </c>
      <c r="B35" s="12">
        <v>114.8196071586808</v>
      </c>
      <c r="C35" s="12">
        <v>109.434950901268</v>
      </c>
      <c r="D35" s="12">
        <v>89.31249489547291</v>
      </c>
      <c r="E35" s="12">
        <v>89.10779040101947</v>
      </c>
      <c r="I35" s="13">
        <v>45566</v>
      </c>
      <c r="J35" t="s">
        <v>66</v>
      </c>
      <c r="K35" s="10">
        <v>1764</v>
      </c>
      <c r="L35" s="12">
        <v>90.49070174104688</v>
      </c>
      <c r="M35" s="12">
        <v>94.01472003116211</v>
      </c>
      <c r="N35" s="12">
        <v>85.87797452041369</v>
      </c>
    </row>
    <row r="36" spans="1:14">
      <c r="A36" s="13">
        <v>46082</v>
      </c>
      <c r="B36" s="12">
        <v>116.2735068678387</v>
      </c>
      <c r="C36" s="12">
        <v>109.9101578157769</v>
      </c>
      <c r="D36" s="12">
        <v>88.14955604518534</v>
      </c>
      <c r="E36" s="12">
        <v>88.76898783355841</v>
      </c>
      <c r="I36" s="13">
        <v>45566</v>
      </c>
      <c r="J36" t="s">
        <v>76</v>
      </c>
      <c r="K36" s="10">
        <v>1764</v>
      </c>
      <c r="L36" s="12">
        <v>90.36653605959177</v>
      </c>
      <c r="M36" s="12">
        <v>89.54228281663234</v>
      </c>
      <c r="N36" s="12">
        <v>81.79261587629681</v>
      </c>
    </row>
    <row r="37" spans="1:14">
      <c r="A37" s="13">
        <v>46113</v>
      </c>
      <c r="B37" s="12">
        <v>115.7487531624271</v>
      </c>
      <c r="C37" s="12">
        <v>109.8765504138646</v>
      </c>
      <c r="D37" s="12">
        <v>88.49259353068032</v>
      </c>
      <c r="E37" s="12">
        <v>88.85292694963481</v>
      </c>
      <c r="I37" s="13">
        <v>45597</v>
      </c>
      <c r="J37" t="s">
        <v>61</v>
      </c>
      <c r="K37" s="10">
        <v>1774</v>
      </c>
      <c r="L37" s="12">
        <v>109.0951970099757</v>
      </c>
      <c r="M37" s="12">
        <v>108.6354560697818</v>
      </c>
      <c r="N37" s="12">
        <v>99.71554491764198</v>
      </c>
    </row>
    <row r="38" spans="1:14">
      <c r="A38" s="13">
        <v>46143</v>
      </c>
      <c r="B38" s="12">
        <v>114.934659777299</v>
      </c>
      <c r="C38" s="12">
        <v>110.2440164971688</v>
      </c>
      <c r="D38" s="12">
        <v>89.00586883872137</v>
      </c>
      <c r="E38" s="12">
        <v>88.6697153018381</v>
      </c>
      <c r="I38" s="13">
        <v>45597</v>
      </c>
      <c r="J38" t="s">
        <v>73</v>
      </c>
      <c r="K38" s="10">
        <v>1774</v>
      </c>
      <c r="L38" s="12">
        <v>111.7532115584476</v>
      </c>
      <c r="M38" s="12">
        <v>109.146833150995</v>
      </c>
      <c r="N38" s="12">
        <v>100.1849335146652</v>
      </c>
    </row>
    <row r="39" spans="1:14">
      <c r="A39" s="13">
        <v>46174</v>
      </c>
      <c r="B39" s="12">
        <v>115.0958612121122</v>
      </c>
      <c r="C39" s="12">
        <v>109.8167852574973</v>
      </c>
      <c r="D39" s="12">
        <v>89.79823528726864</v>
      </c>
      <c r="E39" s="12">
        <v>88.10565109194141</v>
      </c>
      <c r="I39" s="13">
        <v>45597</v>
      </c>
      <c r="J39" t="s">
        <v>66</v>
      </c>
      <c r="K39" s="10">
        <v>1774</v>
      </c>
      <c r="L39" s="12">
        <v>90.28470436711858</v>
      </c>
      <c r="M39" s="12">
        <v>94.47708250426231</v>
      </c>
      <c r="N39" s="12">
        <v>86.71969635852666</v>
      </c>
    </row>
    <row r="40" spans="1:14">
      <c r="A40" s="13">
        <v>46204</v>
      </c>
      <c r="B40" s="12">
        <v>114.9761307060665</v>
      </c>
      <c r="C40" s="12">
        <v>111.0185823386442</v>
      </c>
      <c r="D40" s="12">
        <v>89.62550633990323</v>
      </c>
      <c r="E40" s="12">
        <v>87.41078314622833</v>
      </c>
      <c r="I40" s="13">
        <v>45597</v>
      </c>
      <c r="J40" t="s">
        <v>76</v>
      </c>
      <c r="K40" s="10">
        <v>1774</v>
      </c>
      <c r="L40" s="12">
        <v>90.84900518882624</v>
      </c>
      <c r="M40" s="12">
        <v>89.26697028566639</v>
      </c>
      <c r="N40" s="12">
        <v>81.937379445109</v>
      </c>
    </row>
    <row r="41" spans="1:14">
      <c r="A41" s="13">
        <v>46235</v>
      </c>
      <c r="B41" s="12">
        <v>115.209323082687</v>
      </c>
      <c r="C41" s="12">
        <v>110.2899503841354</v>
      </c>
      <c r="D41" s="12">
        <v>89.54532989655613</v>
      </c>
      <c r="E41" s="12">
        <v>87.88879152486678</v>
      </c>
      <c r="I41" s="13">
        <v>45627</v>
      </c>
      <c r="J41" t="s">
        <v>61</v>
      </c>
      <c r="K41" s="10">
        <v>1884</v>
      </c>
      <c r="L41" s="12">
        <v>109.7809570474252</v>
      </c>
      <c r="M41" s="12">
        <v>108.7105685111167</v>
      </c>
      <c r="N41" s="12">
        <v>99.26172161749145</v>
      </c>
    </row>
    <row r="42" spans="1:14">
      <c r="A42" s="13">
        <v>46266</v>
      </c>
      <c r="B42" s="12">
        <v>115.4333823116827</v>
      </c>
      <c r="C42" s="12">
        <v>109.8560364712969</v>
      </c>
      <c r="D42" s="12">
        <v>89.59182933757553</v>
      </c>
      <c r="E42" s="12">
        <v>88.01896320693803</v>
      </c>
      <c r="I42" s="13">
        <v>45627</v>
      </c>
      <c r="J42" t="s">
        <v>73</v>
      </c>
      <c r="K42" s="10">
        <v>1884</v>
      </c>
      <c r="L42" s="12">
        <v>112.1934078563221</v>
      </c>
      <c r="M42" s="12">
        <v>109.4179121535248</v>
      </c>
      <c r="N42" s="12">
        <v>99.90758474452905</v>
      </c>
    </row>
    <row r="43" spans="1:14">
      <c r="A43" s="13">
        <v>46296</v>
      </c>
      <c r="B43" s="12">
        <v>114.6835877858548</v>
      </c>
      <c r="C43" s="12">
        <v>109.4321071085646</v>
      </c>
      <c r="D43" s="12">
        <v>89.85973704074904</v>
      </c>
      <c r="E43" s="12">
        <v>88.672473658942</v>
      </c>
      <c r="I43" s="13">
        <v>45627</v>
      </c>
      <c r="J43" t="s">
        <v>66</v>
      </c>
      <c r="K43" s="10">
        <v>1884</v>
      </c>
      <c r="L43" s="12">
        <v>89.52967946109138</v>
      </c>
      <c r="M43" s="12">
        <v>93.56250452616348</v>
      </c>
      <c r="N43" s="12">
        <v>85.4302889342504</v>
      </c>
    </row>
    <row r="44" spans="1:14">
      <c r="I44" s="13">
        <v>45627</v>
      </c>
      <c r="J44" t="s">
        <v>76</v>
      </c>
      <c r="K44" s="10">
        <v>1884</v>
      </c>
      <c r="L44" s="12">
        <v>90.68565997873284</v>
      </c>
      <c r="M44" s="12">
        <v>89.85411494846358</v>
      </c>
      <c r="N44" s="12">
        <v>82.04422317309846</v>
      </c>
    </row>
    <row r="45" spans="1:14">
      <c r="I45" s="13">
        <v>45658</v>
      </c>
      <c r="J45" t="s">
        <v>61</v>
      </c>
      <c r="K45" s="10">
        <v>1866</v>
      </c>
      <c r="L45" s="12">
        <v>109.4359614434029</v>
      </c>
      <c r="M45" s="12">
        <v>107.4663876126547</v>
      </c>
      <c r="N45" s="12">
        <v>98.78405672412116</v>
      </c>
    </row>
    <row r="46" spans="1:14">
      <c r="I46" s="13">
        <v>45658</v>
      </c>
      <c r="J46" t="s">
        <v>73</v>
      </c>
      <c r="K46" s="10">
        <v>1866</v>
      </c>
      <c r="L46" s="12">
        <v>111.7911024638305</v>
      </c>
      <c r="M46" s="12">
        <v>108.1999195339915</v>
      </c>
      <c r="N46" s="12">
        <v>99.45832577266739</v>
      </c>
    </row>
    <row r="47" spans="1:14">
      <c r="I47" s="13">
        <v>45658</v>
      </c>
      <c r="J47" t="s">
        <v>66</v>
      </c>
      <c r="K47" s="10">
        <v>1866</v>
      </c>
      <c r="L47" s="12">
        <v>90.65773070802136</v>
      </c>
      <c r="M47" s="12">
        <v>95.03532298637327</v>
      </c>
      <c r="N47" s="12">
        <v>87.35731185567079</v>
      </c>
    </row>
    <row r="48" spans="1:14">
      <c r="I48" s="13">
        <v>45658</v>
      </c>
      <c r="J48" t="s">
        <v>76</v>
      </c>
      <c r="K48" s="10">
        <v>1866</v>
      </c>
      <c r="L48" s="12">
        <v>90.1628973821656</v>
      </c>
      <c r="M48" s="12">
        <v>90.49307717831137</v>
      </c>
      <c r="N48" s="12">
        <v>83.18203921902311</v>
      </c>
    </row>
    <row r="49" spans="9:14">
      <c r="I49" s="13">
        <v>45689</v>
      </c>
      <c r="J49" t="s">
        <v>61</v>
      </c>
      <c r="K49" s="10">
        <v>1876</v>
      </c>
      <c r="L49" s="12">
        <v>109.8940318403145</v>
      </c>
      <c r="M49" s="12">
        <v>107.6413274176803</v>
      </c>
      <c r="N49" s="12">
        <v>98.75422442834784</v>
      </c>
    </row>
    <row r="50" spans="9:14">
      <c r="I50" s="13">
        <v>45689</v>
      </c>
      <c r="J50" t="s">
        <v>73</v>
      </c>
      <c r="K50" s="10">
        <v>1876</v>
      </c>
      <c r="L50" s="12">
        <v>111.8916939361966</v>
      </c>
      <c r="M50" s="12">
        <v>110.1696175703797</v>
      </c>
      <c r="N50" s="12">
        <v>101.0737734263904</v>
      </c>
    </row>
    <row r="51" spans="9:14">
      <c r="I51" s="13">
        <v>45689</v>
      </c>
      <c r="J51" t="s">
        <v>66</v>
      </c>
      <c r="K51" s="10">
        <v>1876</v>
      </c>
      <c r="L51" s="12">
        <v>89.8839579202474</v>
      </c>
      <c r="M51" s="12">
        <v>93.70978330896926</v>
      </c>
      <c r="N51" s="12">
        <v>85.97289901597563</v>
      </c>
    </row>
    <row r="52" spans="9:14">
      <c r="I52" s="13">
        <v>45689</v>
      </c>
      <c r="J52" t="s">
        <v>76</v>
      </c>
      <c r="K52" s="10">
        <v>1876</v>
      </c>
      <c r="L52" s="12">
        <v>90.4785967219523</v>
      </c>
      <c r="M52" s="12">
        <v>89.98584096164461</v>
      </c>
      <c r="N52" s="12">
        <v>82.55641347879035</v>
      </c>
    </row>
    <row r="53" spans="9:14">
      <c r="I53" s="13">
        <v>45717</v>
      </c>
      <c r="J53" t="s">
        <v>61</v>
      </c>
      <c r="K53" s="10">
        <v>1963</v>
      </c>
      <c r="L53" s="12">
        <v>110.1871340603839</v>
      </c>
      <c r="M53" s="12">
        <v>108.2801015222848</v>
      </c>
      <c r="N53" s="12">
        <v>99.66962541768868</v>
      </c>
    </row>
    <row r="54" spans="9:14">
      <c r="I54" s="13">
        <v>45717</v>
      </c>
      <c r="J54" t="s">
        <v>73</v>
      </c>
      <c r="K54" s="10">
        <v>1963</v>
      </c>
      <c r="L54" s="12">
        <v>111.6463176551817</v>
      </c>
      <c r="M54" s="12">
        <v>109.3181694016386</v>
      </c>
      <c r="N54" s="12">
        <v>100.6251457324903</v>
      </c>
    </row>
    <row r="55" spans="9:14">
      <c r="I55" s="13">
        <v>45717</v>
      </c>
      <c r="J55" t="s">
        <v>66</v>
      </c>
      <c r="K55" s="10">
        <v>1963</v>
      </c>
      <c r="L55" s="12">
        <v>90.664087131458</v>
      </c>
      <c r="M55" s="12">
        <v>94.31089689968502</v>
      </c>
      <c r="N55" s="12">
        <v>86.81125742076709</v>
      </c>
    </row>
    <row r="56" spans="9:14">
      <c r="I56" s="13">
        <v>45717</v>
      </c>
      <c r="J56" t="s">
        <v>76</v>
      </c>
      <c r="K56" s="10">
        <v>1963</v>
      </c>
      <c r="L56" s="12">
        <v>89.65807619236161</v>
      </c>
      <c r="M56" s="12">
        <v>89.5771251197115</v>
      </c>
      <c r="N56" s="12">
        <v>82.45391702775235</v>
      </c>
    </row>
    <row r="57" spans="9:14">
      <c r="I57" s="13">
        <v>45748</v>
      </c>
      <c r="J57" t="s">
        <v>61</v>
      </c>
      <c r="K57" s="10">
        <v>1930</v>
      </c>
      <c r="L57" s="12">
        <v>110.0901159532195</v>
      </c>
      <c r="M57" s="12">
        <v>108.4047488835115</v>
      </c>
      <c r="N57" s="12">
        <v>99.70972436998272</v>
      </c>
    </row>
    <row r="58" spans="9:14">
      <c r="I58" s="13">
        <v>45748</v>
      </c>
      <c r="J58" t="s">
        <v>73</v>
      </c>
      <c r="K58" s="10">
        <v>1930</v>
      </c>
      <c r="L58" s="12">
        <v>112.5562469988942</v>
      </c>
      <c r="M58" s="12">
        <v>110.6948692560486</v>
      </c>
      <c r="N58" s="12">
        <v>101.8161567308484</v>
      </c>
    </row>
    <row r="59" spans="9:14">
      <c r="I59" s="13">
        <v>45748</v>
      </c>
      <c r="J59" t="s">
        <v>66</v>
      </c>
      <c r="K59" s="10">
        <v>1930</v>
      </c>
      <c r="L59" s="12">
        <v>90.963268656767</v>
      </c>
      <c r="M59" s="12">
        <v>94.31911324509214</v>
      </c>
      <c r="N59" s="12">
        <v>86.75388192260058</v>
      </c>
    </row>
    <row r="60" spans="9:14">
      <c r="I60" s="13">
        <v>45748</v>
      </c>
      <c r="J60" t="s">
        <v>76</v>
      </c>
      <c r="K60" s="10">
        <v>1930</v>
      </c>
      <c r="L60" s="12">
        <v>88.71887154641834</v>
      </c>
      <c r="M60" s="12">
        <v>88.35364921027214</v>
      </c>
      <c r="N60" s="12">
        <v>81.26690113276344</v>
      </c>
    </row>
    <row r="61" spans="9:14">
      <c r="I61" s="13">
        <v>45778</v>
      </c>
      <c r="J61" t="s">
        <v>61</v>
      </c>
      <c r="K61" s="10">
        <v>1887</v>
      </c>
      <c r="L61" s="12">
        <v>110.501196948398</v>
      </c>
      <c r="M61" s="12">
        <v>108.5115047890596</v>
      </c>
      <c r="N61" s="12">
        <v>100.0296756140026</v>
      </c>
    </row>
    <row r="62" spans="9:14">
      <c r="I62" s="13">
        <v>45778</v>
      </c>
      <c r="J62" t="s">
        <v>73</v>
      </c>
      <c r="K62" s="10">
        <v>1887</v>
      </c>
      <c r="L62" s="12">
        <v>113.3260137450756</v>
      </c>
      <c r="M62" s="12">
        <v>110.4422312856988</v>
      </c>
      <c r="N62" s="12">
        <v>101.8094863864512</v>
      </c>
    </row>
    <row r="63" spans="9:14">
      <c r="I63" s="13">
        <v>45778</v>
      </c>
      <c r="J63" t="s">
        <v>66</v>
      </c>
      <c r="K63" s="10">
        <v>1887</v>
      </c>
      <c r="L63" s="12">
        <v>90.87356512476543</v>
      </c>
      <c r="M63" s="12">
        <v>94.75539915025516</v>
      </c>
      <c r="N63" s="12">
        <v>87.34881944638731</v>
      </c>
    </row>
    <row r="64" spans="9:14">
      <c r="I64" s="13">
        <v>45778</v>
      </c>
      <c r="J64" t="s">
        <v>76</v>
      </c>
      <c r="K64" s="10">
        <v>1887</v>
      </c>
      <c r="L64" s="12">
        <v>87.87510126507149</v>
      </c>
      <c r="M64" s="12">
        <v>88.06129673084526</v>
      </c>
      <c r="N64" s="12">
        <v>81.17796323310222</v>
      </c>
    </row>
    <row r="65" spans="9:14">
      <c r="I65" s="13">
        <v>45809</v>
      </c>
      <c r="J65" t="s">
        <v>61</v>
      </c>
      <c r="K65" s="10">
        <v>1885</v>
      </c>
      <c r="L65" s="12">
        <v>110.4360749074947</v>
      </c>
      <c r="M65" s="12">
        <v>108.6365301580897</v>
      </c>
      <c r="N65" s="12">
        <v>100.0812600176525</v>
      </c>
    </row>
    <row r="66" spans="9:14">
      <c r="I66" s="13">
        <v>45809</v>
      </c>
      <c r="J66" t="s">
        <v>73</v>
      </c>
      <c r="K66" s="10">
        <v>1885</v>
      </c>
      <c r="L66" s="12">
        <v>113.4299133784435</v>
      </c>
      <c r="M66" s="12">
        <v>111.2486553489769</v>
      </c>
      <c r="N66" s="12">
        <v>102.4876769019861</v>
      </c>
    </row>
    <row r="67" spans="9:14">
      <c r="I67" s="13">
        <v>45809</v>
      </c>
      <c r="J67" t="s">
        <v>66</v>
      </c>
      <c r="K67" s="10">
        <v>1885</v>
      </c>
      <c r="L67" s="12">
        <v>90.43666776900888</v>
      </c>
      <c r="M67" s="12">
        <v>94.42894322026052</v>
      </c>
      <c r="N67" s="12">
        <v>86.99253930391937</v>
      </c>
    </row>
    <row r="68" spans="9:14">
      <c r="I68" s="13">
        <v>45809</v>
      </c>
      <c r="J68" t="s">
        <v>76</v>
      </c>
      <c r="K68" s="10">
        <v>1885</v>
      </c>
      <c r="L68" s="12">
        <v>88.27076389199068</v>
      </c>
      <c r="M68" s="12">
        <v>87.62422994654221</v>
      </c>
      <c r="N68" s="12">
        <v>80.72370618211832</v>
      </c>
    </row>
    <row r="69" spans="9:14">
      <c r="I69" s="13">
        <v>45839</v>
      </c>
      <c r="J69" t="s">
        <v>61</v>
      </c>
      <c r="K69" s="10">
        <v>1899</v>
      </c>
      <c r="L69" s="12">
        <v>110.4117440177123</v>
      </c>
      <c r="M69" s="12">
        <v>108.3889164537548</v>
      </c>
      <c r="N69" s="12">
        <v>99.96288415555678</v>
      </c>
    </row>
    <row r="70" spans="9:14">
      <c r="I70" s="13">
        <v>45839</v>
      </c>
      <c r="J70" t="s">
        <v>73</v>
      </c>
      <c r="K70" s="10">
        <v>1899</v>
      </c>
      <c r="L70" s="12">
        <v>113.5303774178251</v>
      </c>
      <c r="M70" s="12">
        <v>110.8537571993454</v>
      </c>
      <c r="N70" s="12">
        <v>102.2361109574734</v>
      </c>
    </row>
    <row r="71" spans="9:14">
      <c r="I71" s="13">
        <v>45839</v>
      </c>
      <c r="J71" t="s">
        <v>66</v>
      </c>
      <c r="K71" s="10">
        <v>1899</v>
      </c>
      <c r="L71" s="12">
        <v>90.16707787521958</v>
      </c>
      <c r="M71" s="12">
        <v>94.32173525109448</v>
      </c>
      <c r="N71" s="12">
        <v>86.98926977722017</v>
      </c>
    </row>
    <row r="72" spans="9:14">
      <c r="I72" s="13">
        <v>45839</v>
      </c>
      <c r="J72" t="s">
        <v>76</v>
      </c>
      <c r="K72" s="10">
        <v>1899</v>
      </c>
      <c r="L72" s="12">
        <v>88.47583156782771</v>
      </c>
      <c r="M72" s="12">
        <v>88.23744535517079</v>
      </c>
      <c r="N72" s="12">
        <v>81.37796572571654</v>
      </c>
    </row>
    <row r="73" spans="9:14">
      <c r="I73" s="13">
        <v>45870</v>
      </c>
      <c r="J73" t="s">
        <v>61</v>
      </c>
      <c r="K73" s="10">
        <v>2057</v>
      </c>
      <c r="L73" s="12">
        <v>109.8302539749423</v>
      </c>
      <c r="M73" s="12">
        <v>107.7730301795026</v>
      </c>
      <c r="N73" s="12">
        <v>99.27976379784694</v>
      </c>
    </row>
    <row r="74" spans="9:14">
      <c r="I74" s="13">
        <v>45870</v>
      </c>
      <c r="J74" t="s">
        <v>73</v>
      </c>
      <c r="K74" s="10">
        <v>2057</v>
      </c>
      <c r="L74" s="12">
        <v>113.5885734746259</v>
      </c>
      <c r="M74" s="12">
        <v>111.0513754505716</v>
      </c>
      <c r="N74" s="12">
        <v>102.2997525985462</v>
      </c>
    </row>
    <row r="75" spans="9:14">
      <c r="I75" s="13">
        <v>45870</v>
      </c>
      <c r="J75" t="s">
        <v>66</v>
      </c>
      <c r="K75" s="10">
        <v>2057</v>
      </c>
      <c r="L75" s="12">
        <v>90.04509625512931</v>
      </c>
      <c r="M75" s="12">
        <v>93.82828564016602</v>
      </c>
      <c r="N75" s="12">
        <v>86.43396237813373</v>
      </c>
    </row>
    <row r="76" spans="9:14">
      <c r="I76" s="13">
        <v>45870</v>
      </c>
      <c r="J76" t="s">
        <v>76</v>
      </c>
      <c r="K76" s="10">
        <v>2057</v>
      </c>
      <c r="L76" s="12">
        <v>89.01912068032659</v>
      </c>
      <c r="M76" s="12">
        <v>89.04964304861544</v>
      </c>
      <c r="N76" s="12">
        <v>82.03191014880234</v>
      </c>
    </row>
    <row r="77" spans="9:14">
      <c r="I77" s="13">
        <v>45901</v>
      </c>
      <c r="J77" t="s">
        <v>61</v>
      </c>
      <c r="K77" s="10">
        <v>12</v>
      </c>
      <c r="L77" s="12">
        <v>109.8385298588772</v>
      </c>
      <c r="M77" s="12">
        <v>110.6312331208668</v>
      </c>
      <c r="N77" s="12">
        <v>99.7182645116897</v>
      </c>
    </row>
    <row r="78" spans="9:14">
      <c r="I78" s="13">
        <v>45901</v>
      </c>
      <c r="J78" t="s">
        <v>73</v>
      </c>
      <c r="K78" s="10">
        <v>12</v>
      </c>
      <c r="L78" s="12">
        <v>109.2551607542658</v>
      </c>
      <c r="M78" s="12">
        <v>106.6503781509212</v>
      </c>
      <c r="N78" s="12">
        <v>96.13009200671532</v>
      </c>
    </row>
    <row r="79" spans="9:14">
      <c r="I79" s="13">
        <v>45901</v>
      </c>
      <c r="J79" t="s">
        <v>66</v>
      </c>
      <c r="K79" s="10">
        <v>12</v>
      </c>
      <c r="L79" s="12">
        <v>88.90007295453209</v>
      </c>
      <c r="M79" s="12">
        <v>89.59040054833599</v>
      </c>
      <c r="N79" s="12">
        <v>80.75295743858202</v>
      </c>
    </row>
    <row r="80" spans="9:14">
      <c r="I80" s="13">
        <v>45901</v>
      </c>
      <c r="J80" t="s">
        <v>76</v>
      </c>
      <c r="K80" s="10">
        <v>12</v>
      </c>
      <c r="L80" s="12">
        <v>93.73487635234974</v>
      </c>
      <c r="M80" s="12">
        <v>94.60157542706057</v>
      </c>
      <c r="N80" s="12">
        <v>85.26981626745409</v>
      </c>
    </row>
    <row r="81" spans="9:14">
      <c r="I81" s="13">
        <v>45931</v>
      </c>
      <c r="J81" t="s">
        <v>61</v>
      </c>
      <c r="K81" s="10">
        <v>2146</v>
      </c>
      <c r="L81" s="12">
        <v>110.1818412952914</v>
      </c>
      <c r="M81" s="12">
        <v>108.1309598559903</v>
      </c>
      <c r="N81" s="12">
        <v>100.4672981550962</v>
      </c>
    </row>
    <row r="82" spans="9:14">
      <c r="I82" s="13">
        <v>45931</v>
      </c>
      <c r="J82" t="s">
        <v>73</v>
      </c>
      <c r="K82" s="10">
        <v>2146</v>
      </c>
      <c r="L82" s="12">
        <v>111.4223626020523</v>
      </c>
      <c r="M82" s="12">
        <v>109.9611845981622</v>
      </c>
      <c r="N82" s="12">
        <v>102.1678077511222</v>
      </c>
    </row>
    <row r="83" spans="9:14">
      <c r="I83" s="13">
        <v>45931</v>
      </c>
      <c r="J83" t="s">
        <v>66</v>
      </c>
      <c r="K83" s="10">
        <v>2146</v>
      </c>
      <c r="L83" s="12">
        <v>89.20289289639373</v>
      </c>
      <c r="M83" s="12">
        <v>91.61383677035261</v>
      </c>
      <c r="N83" s="12">
        <v>85.12080782596911</v>
      </c>
    </row>
    <row r="84" spans="9:14">
      <c r="I84" s="13">
        <v>45931</v>
      </c>
      <c r="J84" t="s">
        <v>76</v>
      </c>
      <c r="K84" s="10">
        <v>2146</v>
      </c>
      <c r="L84" s="12">
        <v>91.31427434356726</v>
      </c>
      <c r="M84" s="12">
        <v>91.80143297152348</v>
      </c>
      <c r="N84" s="12">
        <v>85.29510835470668</v>
      </c>
    </row>
    <row r="85" spans="9:14">
      <c r="I85" s="13">
        <v>45962</v>
      </c>
      <c r="J85" t="s">
        <v>61</v>
      </c>
      <c r="K85" s="10">
        <v>1503</v>
      </c>
      <c r="L85" s="12">
        <v>109.3777910161646</v>
      </c>
      <c r="M85" s="12">
        <v>107.1443022258436</v>
      </c>
      <c r="N85" s="12">
        <v>98.8778354184677</v>
      </c>
    </row>
    <row r="86" spans="9:14">
      <c r="I86" s="13">
        <v>45962</v>
      </c>
      <c r="J86" t="s">
        <v>73</v>
      </c>
      <c r="K86" s="10">
        <v>1503</v>
      </c>
      <c r="L86" s="12">
        <v>113.0602574198195</v>
      </c>
      <c r="M86" s="12">
        <v>111.5680346770105</v>
      </c>
      <c r="N86" s="12">
        <v>102.9602651898598</v>
      </c>
    </row>
    <row r="87" spans="9:14">
      <c r="I87" s="13">
        <v>45962</v>
      </c>
      <c r="J87" t="s">
        <v>66</v>
      </c>
      <c r="K87" s="10">
        <v>1503</v>
      </c>
      <c r="L87" s="12">
        <v>89.50635074183137</v>
      </c>
      <c r="M87" s="12">
        <v>92.20323043204108</v>
      </c>
      <c r="N87" s="12">
        <v>85.08950690157548</v>
      </c>
    </row>
    <row r="88" spans="9:14">
      <c r="I88" s="13">
        <v>45962</v>
      </c>
      <c r="J88" t="s">
        <v>76</v>
      </c>
      <c r="K88" s="10">
        <v>1503</v>
      </c>
      <c r="L88" s="12">
        <v>90.34560510704148</v>
      </c>
      <c r="M88" s="12">
        <v>90.7287649444004</v>
      </c>
      <c r="N88" s="12">
        <v>83.72880033306529</v>
      </c>
    </row>
    <row r="89" spans="9:14">
      <c r="I89" s="13">
        <v>45992</v>
      </c>
      <c r="J89" t="s">
        <v>61</v>
      </c>
      <c r="K89" s="10">
        <v>1719</v>
      </c>
      <c r="L89" s="12">
        <v>109.0691079867696</v>
      </c>
      <c r="M89" s="12">
        <v>106.8980881584071</v>
      </c>
      <c r="N89" s="12">
        <v>97.97061686466463</v>
      </c>
    </row>
    <row r="90" spans="9:14">
      <c r="I90" s="13">
        <v>45992</v>
      </c>
      <c r="J90" t="s">
        <v>73</v>
      </c>
      <c r="K90" s="10">
        <v>1719</v>
      </c>
      <c r="L90" s="12">
        <v>113.8053335580159</v>
      </c>
      <c r="M90" s="12">
        <v>112.1479551843595</v>
      </c>
      <c r="N90" s="12">
        <v>102.7820472639422</v>
      </c>
    </row>
    <row r="91" spans="9:14">
      <c r="I91" s="13">
        <v>45992</v>
      </c>
      <c r="J91" t="s">
        <v>66</v>
      </c>
      <c r="K91" s="10">
        <v>1719</v>
      </c>
      <c r="L91" s="12">
        <v>88.98617229676837</v>
      </c>
      <c r="M91" s="12">
        <v>92.54734352680724</v>
      </c>
      <c r="N91" s="12">
        <v>84.81835822050905</v>
      </c>
    </row>
    <row r="92" spans="9:14">
      <c r="I92" s="13">
        <v>45992</v>
      </c>
      <c r="J92" t="s">
        <v>76</v>
      </c>
      <c r="K92" s="10">
        <v>1719</v>
      </c>
      <c r="L92" s="12">
        <v>90.53428925812018</v>
      </c>
      <c r="M92" s="12">
        <v>90.13111531839046</v>
      </c>
      <c r="N92" s="12">
        <v>82.60391854116126</v>
      </c>
    </row>
    <row r="93" spans="9:14">
      <c r="I93" s="13">
        <v>46023</v>
      </c>
      <c r="J93" t="s">
        <v>61</v>
      </c>
      <c r="K93" s="10">
        <v>1748</v>
      </c>
      <c r="L93" s="12">
        <v>110.0857469054615</v>
      </c>
      <c r="M93" s="12">
        <v>107.9172176845366</v>
      </c>
      <c r="N93" s="12">
        <v>99.10557331843364</v>
      </c>
    </row>
    <row r="94" spans="9:14">
      <c r="I94" s="13">
        <v>46023</v>
      </c>
      <c r="J94" t="s">
        <v>73</v>
      </c>
      <c r="K94" s="10">
        <v>1748</v>
      </c>
      <c r="L94" s="12">
        <v>113.4541955272437</v>
      </c>
      <c r="M94" s="12">
        <v>109.98833239743</v>
      </c>
      <c r="N94" s="12">
        <v>101.0075776086995</v>
      </c>
    </row>
    <row r="95" spans="9:14">
      <c r="I95" s="13">
        <v>46023</v>
      </c>
      <c r="J95" t="s">
        <v>66</v>
      </c>
      <c r="K95" s="10">
        <v>1748</v>
      </c>
      <c r="L95" s="12">
        <v>89.71327189235549</v>
      </c>
      <c r="M95" s="12">
        <v>93.32265107009836</v>
      </c>
      <c r="N95" s="12">
        <v>85.70268059480823</v>
      </c>
    </row>
    <row r="96" spans="9:14">
      <c r="I96" s="13">
        <v>46023</v>
      </c>
      <c r="J96" t="s">
        <v>76</v>
      </c>
      <c r="K96" s="10">
        <v>1748</v>
      </c>
      <c r="L96" s="12">
        <v>89.24659385895552</v>
      </c>
      <c r="M96" s="12">
        <v>90.27667915916015</v>
      </c>
      <c r="N96" s="12">
        <v>82.90541803539153</v>
      </c>
    </row>
    <row r="97" spans="9:14">
      <c r="I97" s="13">
        <v>46054</v>
      </c>
      <c r="J97" t="s">
        <v>61</v>
      </c>
      <c r="K97" s="10">
        <v>1812</v>
      </c>
      <c r="L97" s="12">
        <v>109.434950901268</v>
      </c>
      <c r="M97" s="12">
        <v>106.2864520043188</v>
      </c>
      <c r="N97" s="12">
        <v>98.9232473878091</v>
      </c>
    </row>
    <row r="98" spans="9:14">
      <c r="I98" s="13">
        <v>46054</v>
      </c>
      <c r="J98" t="s">
        <v>73</v>
      </c>
      <c r="K98" s="10">
        <v>1812</v>
      </c>
      <c r="L98" s="12">
        <v>114.8196071586808</v>
      </c>
      <c r="M98" s="12">
        <v>111.4105077001048</v>
      </c>
      <c r="N98" s="12">
        <v>103.6923239696726</v>
      </c>
    </row>
    <row r="99" spans="9:14">
      <c r="I99" s="13">
        <v>46054</v>
      </c>
      <c r="J99" t="s">
        <v>66</v>
      </c>
      <c r="K99" s="10">
        <v>1812</v>
      </c>
      <c r="L99" s="12">
        <v>89.31249489547291</v>
      </c>
      <c r="M99" s="12">
        <v>91.92640382993196</v>
      </c>
      <c r="N99" s="12">
        <v>85.55802001152976</v>
      </c>
    </row>
    <row r="100" spans="9:14">
      <c r="I100" s="13">
        <v>46054</v>
      </c>
      <c r="J100" t="s">
        <v>76</v>
      </c>
      <c r="K100" s="10">
        <v>1812</v>
      </c>
      <c r="L100" s="12">
        <v>89.10779040101947</v>
      </c>
      <c r="M100" s="12">
        <v>91.86618172051422</v>
      </c>
      <c r="N100" s="12">
        <v>85.50196990809884</v>
      </c>
    </row>
    <row r="101" spans="9:14">
      <c r="I101" s="13">
        <v>46082</v>
      </c>
      <c r="J101" t="s">
        <v>61</v>
      </c>
      <c r="K101" s="10">
        <v>1355</v>
      </c>
      <c r="L101" s="12">
        <v>109.9101578157769</v>
      </c>
      <c r="M101" s="12">
        <v>106.7379458895071</v>
      </c>
      <c r="N101" s="12">
        <v>99.38639497971565</v>
      </c>
    </row>
    <row r="102" spans="9:14">
      <c r="I102" s="13">
        <v>46082</v>
      </c>
      <c r="J102" t="s">
        <v>73</v>
      </c>
      <c r="K102" s="10">
        <v>1355</v>
      </c>
      <c r="L102" s="12">
        <v>116.2735068678387</v>
      </c>
      <c r="M102" s="12">
        <v>113.6994577105216</v>
      </c>
      <c r="N102" s="12">
        <v>105.8684343119652</v>
      </c>
    </row>
    <row r="103" spans="9:14">
      <c r="I103" s="13">
        <v>46082</v>
      </c>
      <c r="J103" t="s">
        <v>66</v>
      </c>
      <c r="K103" s="10">
        <v>1355</v>
      </c>
      <c r="L103" s="12">
        <v>88.14955604518534</v>
      </c>
      <c r="M103" s="12">
        <v>91.42279103150732</v>
      </c>
      <c r="N103" s="12">
        <v>85.12606780920457</v>
      </c>
    </row>
    <row r="104" spans="9:14">
      <c r="I104" s="13">
        <v>46082</v>
      </c>
      <c r="J104" t="s">
        <v>76</v>
      </c>
      <c r="K104" s="10">
        <v>1355</v>
      </c>
      <c r="L104" s="12">
        <v>88.76898783355841</v>
      </c>
      <c r="M104" s="12">
        <v>90.12977568865892</v>
      </c>
      <c r="N104" s="12">
        <v>83.92210859387365</v>
      </c>
    </row>
    <row r="105" spans="9:14">
      <c r="I105" s="13">
        <v>46113</v>
      </c>
      <c r="J105" t="s">
        <v>61</v>
      </c>
      <c r="K105" s="10">
        <v>1535</v>
      </c>
      <c r="L105" s="12">
        <v>109.8765504138646</v>
      </c>
      <c r="M105" s="12">
        <v>107.2764779939392</v>
      </c>
      <c r="N105" s="12">
        <v>99.80151165709913</v>
      </c>
    </row>
    <row r="106" spans="9:14">
      <c r="I106" s="13">
        <v>46113</v>
      </c>
      <c r="J106" t="s">
        <v>73</v>
      </c>
      <c r="K106" s="10">
        <v>1535</v>
      </c>
      <c r="L106" s="12">
        <v>115.7487531624271</v>
      </c>
      <c r="M106" s="12">
        <v>113.8061771279788</v>
      </c>
      <c r="N106" s="12">
        <v>105.8762249253705</v>
      </c>
    </row>
    <row r="107" spans="9:14">
      <c r="I107" s="13">
        <v>46113</v>
      </c>
      <c r="J107" t="s">
        <v>66</v>
      </c>
      <c r="K107" s="10">
        <v>1535</v>
      </c>
      <c r="L107" s="12">
        <v>88.49259353068032</v>
      </c>
      <c r="M107" s="12">
        <v>91.2061805242986</v>
      </c>
      <c r="N107" s="12">
        <v>84.85098372925269</v>
      </c>
    </row>
    <row r="108" spans="9:14">
      <c r="I108" s="13">
        <v>46113</v>
      </c>
      <c r="J108" t="s">
        <v>76</v>
      </c>
      <c r="K108" s="10">
        <v>1535</v>
      </c>
      <c r="L108" s="12">
        <v>88.85292694963481</v>
      </c>
      <c r="M108" s="12">
        <v>89.80600744123002</v>
      </c>
      <c r="N108" s="12">
        <v>83.5483739411152</v>
      </c>
    </row>
    <row r="109" spans="9:14">
      <c r="I109" s="13">
        <v>46143</v>
      </c>
      <c r="J109" t="s">
        <v>61</v>
      </c>
      <c r="K109" s="10">
        <v>1877</v>
      </c>
      <c r="L109" s="12">
        <v>110.2440164971688</v>
      </c>
      <c r="M109" s="12">
        <v>106.8834508454649</v>
      </c>
      <c r="N109" s="12">
        <v>99.87662440277404</v>
      </c>
    </row>
    <row r="110" spans="9:14">
      <c r="I110" s="13">
        <v>46143</v>
      </c>
      <c r="J110" t="s">
        <v>73</v>
      </c>
      <c r="K110" s="10">
        <v>1877</v>
      </c>
      <c r="L110" s="12">
        <v>114.934659777299</v>
      </c>
      <c r="M110" s="12">
        <v>113.0101667722617</v>
      </c>
      <c r="N110" s="12">
        <v>105.6016987768032</v>
      </c>
    </row>
    <row r="111" spans="9:14">
      <c r="I111" s="13">
        <v>46143</v>
      </c>
      <c r="J111" t="s">
        <v>66</v>
      </c>
      <c r="K111" s="10">
        <v>1877</v>
      </c>
      <c r="L111" s="12">
        <v>89.00586883872137</v>
      </c>
      <c r="M111" s="12">
        <v>91.79923162180596</v>
      </c>
      <c r="N111" s="12">
        <v>85.78126271774839</v>
      </c>
    </row>
    <row r="112" spans="9:14">
      <c r="I112" s="13">
        <v>46143</v>
      </c>
      <c r="J112" t="s">
        <v>76</v>
      </c>
      <c r="K112" s="10">
        <v>1877</v>
      </c>
      <c r="L112" s="12">
        <v>88.6697153018381</v>
      </c>
      <c r="M112" s="12">
        <v>90.18472204136384</v>
      </c>
      <c r="N112" s="12">
        <v>84.27259354880809</v>
      </c>
    </row>
    <row r="113" spans="9:14">
      <c r="I113" s="13">
        <v>46174</v>
      </c>
      <c r="J113" t="s">
        <v>61</v>
      </c>
      <c r="K113" s="10">
        <v>1780</v>
      </c>
      <c r="L113" s="12">
        <v>109.8167852574973</v>
      </c>
      <c r="M113" s="12">
        <v>108.195509612253</v>
      </c>
      <c r="N113" s="12">
        <v>100.5256482548517</v>
      </c>
    </row>
    <row r="114" spans="9:14">
      <c r="I114" s="13">
        <v>46174</v>
      </c>
      <c r="J114" t="s">
        <v>73</v>
      </c>
      <c r="K114" s="10">
        <v>1780</v>
      </c>
      <c r="L114" s="12">
        <v>115.0958612121122</v>
      </c>
      <c r="M114" s="12">
        <v>111.9863542177716</v>
      </c>
      <c r="N114" s="12">
        <v>104.0477640318266</v>
      </c>
    </row>
    <row r="115" spans="9:14">
      <c r="I115" s="13">
        <v>46174</v>
      </c>
      <c r="J115" t="s">
        <v>66</v>
      </c>
      <c r="K115" s="10">
        <v>1780</v>
      </c>
      <c r="L115" s="12">
        <v>89.79823528726864</v>
      </c>
      <c r="M115" s="12">
        <v>92.07564559209716</v>
      </c>
      <c r="N115" s="12">
        <v>85.54850376693742</v>
      </c>
    </row>
    <row r="116" spans="9:14">
      <c r="I116" s="13">
        <v>46174</v>
      </c>
      <c r="J116" t="s">
        <v>76</v>
      </c>
      <c r="K116" s="10">
        <v>1780</v>
      </c>
      <c r="L116" s="12">
        <v>88.10565109194141</v>
      </c>
      <c r="M116" s="12">
        <v>89.6356731684012</v>
      </c>
      <c r="N116" s="12">
        <v>83.28149832008458</v>
      </c>
    </row>
    <row r="117" spans="9:14">
      <c r="I117" s="13">
        <v>46204</v>
      </c>
      <c r="J117" t="s">
        <v>61</v>
      </c>
      <c r="K117" s="10">
        <v>1803</v>
      </c>
      <c r="L117" s="12">
        <v>111.0185823386442</v>
      </c>
      <c r="M117" s="12">
        <v>108.7014229299677</v>
      </c>
      <c r="N117" s="12">
        <v>100.8366964638458</v>
      </c>
    </row>
    <row r="118" spans="9:14">
      <c r="I118" s="13">
        <v>46204</v>
      </c>
      <c r="J118" t="s">
        <v>73</v>
      </c>
      <c r="K118" s="10">
        <v>1803</v>
      </c>
      <c r="L118" s="12">
        <v>114.9761307060665</v>
      </c>
      <c r="M118" s="12">
        <v>110.8210870212264</v>
      </c>
      <c r="N118" s="12">
        <v>102.8029993770402</v>
      </c>
    </row>
    <row r="119" spans="9:14">
      <c r="I119" s="13">
        <v>46204</v>
      </c>
      <c r="J119" t="s">
        <v>66</v>
      </c>
      <c r="K119" s="10">
        <v>1803</v>
      </c>
      <c r="L119" s="12">
        <v>89.62550633990323</v>
      </c>
      <c r="M119" s="12">
        <v>92.9176275936035</v>
      </c>
      <c r="N119" s="12">
        <v>86.19488464132881</v>
      </c>
    </row>
    <row r="120" spans="9:14">
      <c r="I120" s="13">
        <v>46204</v>
      </c>
      <c r="J120" t="s">
        <v>76</v>
      </c>
      <c r="K120" s="10">
        <v>1803</v>
      </c>
      <c r="L120" s="12">
        <v>87.41078314622833</v>
      </c>
      <c r="M120" s="12">
        <v>89.33965116426073</v>
      </c>
      <c r="N120" s="12">
        <v>82.87578068265408</v>
      </c>
    </row>
    <row r="121" spans="9:14">
      <c r="I121" s="13">
        <v>46235</v>
      </c>
      <c r="J121" t="s">
        <v>61</v>
      </c>
      <c r="K121" s="10">
        <v>1812</v>
      </c>
      <c r="L121" s="12">
        <v>110.2899503841354</v>
      </c>
      <c r="M121" s="12">
        <v>107.0674114750184</v>
      </c>
      <c r="N121" s="12">
        <v>99.74002942332343</v>
      </c>
    </row>
    <row r="122" spans="9:14">
      <c r="I122" s="13">
        <v>46235</v>
      </c>
      <c r="J122" t="s">
        <v>73</v>
      </c>
      <c r="K122" s="10">
        <v>1812</v>
      </c>
      <c r="L122" s="12">
        <v>115.209323082687</v>
      </c>
      <c r="M122" s="12">
        <v>112.979469148631</v>
      </c>
      <c r="N122" s="12">
        <v>105.2474830751388</v>
      </c>
    </row>
    <row r="123" spans="9:14">
      <c r="I123" s="13">
        <v>46235</v>
      </c>
      <c r="J123" t="s">
        <v>66</v>
      </c>
      <c r="K123" s="10">
        <v>1812</v>
      </c>
      <c r="L123" s="12">
        <v>89.54532989655613</v>
      </c>
      <c r="M123" s="12">
        <v>92.0963816637272</v>
      </c>
      <c r="N123" s="12">
        <v>85.79357332333602</v>
      </c>
    </row>
    <row r="124" spans="9:14">
      <c r="I124" s="13">
        <v>46235</v>
      </c>
      <c r="J124" t="s">
        <v>76</v>
      </c>
      <c r="K124" s="10">
        <v>1812</v>
      </c>
      <c r="L124" s="12">
        <v>87.88879152486678</v>
      </c>
      <c r="M124" s="12">
        <v>89.76366978702225</v>
      </c>
      <c r="N124" s="12">
        <v>83.62050545876947</v>
      </c>
    </row>
    <row r="125" spans="9:14">
      <c r="I125" s="13">
        <v>46266</v>
      </c>
      <c r="J125" t="s">
        <v>61</v>
      </c>
      <c r="K125" s="10">
        <v>1703</v>
      </c>
      <c r="L125" s="12">
        <v>109.8560364712969</v>
      </c>
      <c r="M125" s="12">
        <v>107.6271700743156</v>
      </c>
      <c r="N125" s="12">
        <v>99.43010548188012</v>
      </c>
    </row>
    <row r="126" spans="9:14">
      <c r="I126" s="13">
        <v>46266</v>
      </c>
      <c r="J126" t="s">
        <v>73</v>
      </c>
      <c r="K126" s="10">
        <v>1703</v>
      </c>
      <c r="L126" s="12">
        <v>115.4333823116827</v>
      </c>
      <c r="M126" s="12">
        <v>110.922398024711</v>
      </c>
      <c r="N126" s="12">
        <v>102.4743633813346</v>
      </c>
    </row>
    <row r="127" spans="9:14">
      <c r="I127" s="13">
        <v>46266</v>
      </c>
      <c r="J127" t="s">
        <v>66</v>
      </c>
      <c r="K127" s="10">
        <v>1703</v>
      </c>
      <c r="L127" s="12">
        <v>89.59182933757553</v>
      </c>
      <c r="M127" s="12">
        <v>92.21662505698616</v>
      </c>
      <c r="N127" s="12">
        <v>85.19325324885844</v>
      </c>
    </row>
    <row r="128" spans="9:14">
      <c r="I128" s="13">
        <v>46266</v>
      </c>
      <c r="J128" t="s">
        <v>76</v>
      </c>
      <c r="K128" s="10">
        <v>1703</v>
      </c>
      <c r="L128" s="12">
        <v>88.01896320693803</v>
      </c>
      <c r="M128" s="12">
        <v>90.8342437875868</v>
      </c>
      <c r="N128" s="12">
        <v>83.91615644014698</v>
      </c>
    </row>
    <row r="129" spans="9:14">
      <c r="I129" s="13">
        <v>46296</v>
      </c>
      <c r="J129" t="s">
        <v>61</v>
      </c>
      <c r="K129" s="10">
        <v>1554</v>
      </c>
      <c r="L129" s="12">
        <v>109.4321071085646</v>
      </c>
      <c r="M129" s="12">
        <v>107.1305921881861</v>
      </c>
      <c r="N129" s="12">
        <v>99.20247584346794</v>
      </c>
    </row>
    <row r="130" spans="9:14">
      <c r="I130" s="13">
        <v>46296</v>
      </c>
      <c r="J130" t="s">
        <v>73</v>
      </c>
      <c r="K130" s="10">
        <v>1554</v>
      </c>
      <c r="L130" s="12">
        <v>114.6835877858548</v>
      </c>
      <c r="M130" s="12">
        <v>113.4526733553961</v>
      </c>
      <c r="N130" s="12">
        <v>105.0566962996464</v>
      </c>
    </row>
    <row r="131" spans="9:14">
      <c r="I131" s="13">
        <v>46296</v>
      </c>
      <c r="J131" t="s">
        <v>66</v>
      </c>
      <c r="K131" s="10">
        <v>1554</v>
      </c>
      <c r="L131" s="12">
        <v>89.85973704074904</v>
      </c>
      <c r="M131" s="12">
        <v>91.86379554965232</v>
      </c>
      <c r="N131" s="12">
        <v>85.06548664358652</v>
      </c>
    </row>
    <row r="132" spans="9:14">
      <c r="I132" s="13">
        <v>46296</v>
      </c>
      <c r="J132" t="s">
        <v>76</v>
      </c>
      <c r="K132" s="10">
        <v>1554</v>
      </c>
      <c r="L132" s="12">
        <v>88.672473658942</v>
      </c>
      <c r="M132" s="12">
        <v>89.56274077439231</v>
      </c>
      <c r="N132" s="12">
        <v>82.93471964141924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workbookViewId="0"/>
  </sheetViews>
  <sheetFormatPr defaultRowHeight="15" x14ac:dyDescent="0.25"/>
  <cols>
    <col min="1" max="3" width="11.7109375" customWidth="1"/>
    <col min="4" max="4" width="24.7109375" customWidth="1"/>
    <col min="5" max="5" width="18.7109375" customWidth="1"/>
    <col min="6" max="6" width="22.7109375" customWidth="1"/>
    <col min="7" max="7" width="31.7109375" customWidth="1"/>
    <col min="8" max="9" width="29.7109375" customWidth="1"/>
    <col min="10" max="10" width="22.7109375" customWidth="1"/>
    <col min="11" max="12" width="23.7109375" customWidth="1"/>
    <col min="13" max="13" width="30.7109375" customWidth="1"/>
  </cols>
  <sheetData>
    <row r="1" spans="1:13" x14ac:dyDescent="0.25">
      <c r="A1" s="1" t="s">
        <v>99</v>
      </c>
    </row>
    <row r="2" spans="1:13" x14ac:dyDescent="0.25">
      <c r="A2" s="2" t="s">
        <v>100</v>
      </c>
    </row>
    <row r="4" spans="1:13" ht="32" customHeight="1" x14ac:dyDescent="0.25">
      <c r="A4" s="9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113</v>
      </c>
    </row>
    <row r="5" spans="1:13" x14ac:dyDescent="0.25">
      <c r="A5" t="s">
        <v>61</v>
      </c>
      <c r="B5" t="s">
        <v>66</v>
      </c>
      <c r="C5" t="s">
        <v>114</v>
      </c>
      <c r="D5" t="s">
        <v>115</v>
      </c>
      <c r="E5" s="10">
        <v>16863</v>
      </c>
      <c r="F5" s="10">
        <v>6211492</v>
      </c>
      <c r="G5" s="11">
        <v>0.1253132832080201</v>
      </c>
      <c r="H5" s="11">
        <v>0.1504851435958572</v>
      </c>
      <c r="I5" s="11">
        <v>0.1002004008016033</v>
      </c>
      <c r="J5" s="11">
        <v>0.7772045306291882</v>
      </c>
      <c r="K5" s="11">
        <v>0.1698392931269643</v>
      </c>
      <c r="L5" s="11">
        <v>0.0529561762438474</v>
      </c>
      <c r="M5" s="11">
        <v>0.1284269544257643</v>
      </c>
    </row>
    <row r="6" spans="1:13" x14ac:dyDescent="0.25">
      <c r="A6" t="s">
        <v>61</v>
      </c>
      <c r="B6" t="s">
        <v>73</v>
      </c>
      <c r="C6" t="s">
        <v>116</v>
      </c>
      <c r="D6" t="s">
        <v>117</v>
      </c>
      <c r="E6" s="10">
        <v>5717</v>
      </c>
      <c r="F6" s="10">
        <v>1799056</v>
      </c>
      <c r="G6" s="11">
        <v>0</v>
      </c>
      <c r="H6" s="11">
        <v>-0.0134591124381315</v>
      </c>
      <c r="I6" s="11">
        <v>0</v>
      </c>
      <c r="J6" s="11">
        <v>0.1763162497813538</v>
      </c>
      <c r="K6" s="11">
        <v>0.5191534021339863</v>
      </c>
      <c r="L6" s="11">
        <v>0.3045303480846598</v>
      </c>
      <c r="M6" s="11">
        <v>0.4036272356169013</v>
      </c>
    </row>
    <row r="7" spans="1:13" x14ac:dyDescent="0.25">
      <c r="A7" t="s">
        <v>66</v>
      </c>
      <c r="B7" t="s">
        <v>73</v>
      </c>
      <c r="C7" t="s">
        <v>116</v>
      </c>
      <c r="D7" t="s">
        <v>117</v>
      </c>
      <c r="E7" s="10">
        <v>5300</v>
      </c>
      <c r="F7" s="10">
        <v>1650369</v>
      </c>
      <c r="G7" s="11">
        <v>-0.1602136181575434</v>
      </c>
      <c r="H7" s="11">
        <v>-0.1726183337998156</v>
      </c>
      <c r="I7" s="11">
        <v>-0.1251042535446205</v>
      </c>
      <c r="J7" s="11">
        <v>0.0481132075471698</v>
      </c>
      <c r="K7" s="11">
        <v>0.0858490566037735</v>
      </c>
      <c r="L7" s="11">
        <v>0.8660377358490566</v>
      </c>
      <c r="M7" s="11">
        <v>0.066457864877491</v>
      </c>
    </row>
    <row r="8" spans="1:13" x14ac:dyDescent="0.25">
      <c r="A8" t="s">
        <v>61</v>
      </c>
      <c r="B8" t="s">
        <v>76</v>
      </c>
      <c r="C8" t="s">
        <v>116</v>
      </c>
      <c r="D8" t="s">
        <v>117</v>
      </c>
      <c r="E8" s="10">
        <v>3880</v>
      </c>
      <c r="F8" s="10">
        <v>1467252</v>
      </c>
      <c r="G8" s="11">
        <v>0.2052313883299798</v>
      </c>
      <c r="H8" s="11">
        <v>0.2169364147584533</v>
      </c>
      <c r="I8" s="11">
        <v>0.1794569067296338</v>
      </c>
      <c r="J8" s="11">
        <v>0.922938144329897</v>
      </c>
      <c r="K8" s="11">
        <v>0.0497422680412371</v>
      </c>
      <c r="L8" s="11">
        <v>0.0273195876288659</v>
      </c>
      <c r="M8" s="11">
        <v>0.0010666197762892</v>
      </c>
    </row>
    <row r="9" spans="1:13" x14ac:dyDescent="0.25">
      <c r="A9" t="s">
        <v>66</v>
      </c>
      <c r="B9" t="s">
        <v>76</v>
      </c>
      <c r="C9" t="s">
        <v>116</v>
      </c>
      <c r="D9" t="s">
        <v>117</v>
      </c>
      <c r="E9" s="10">
        <v>3858</v>
      </c>
      <c r="F9" s="10">
        <v>1476027</v>
      </c>
      <c r="G9" s="11">
        <v>0.0072202166064982</v>
      </c>
      <c r="H9" s="11">
        <v>0.0151026534336783</v>
      </c>
      <c r="I9" s="11">
        <v>0.0204081632653061</v>
      </c>
      <c r="J9" s="11">
        <v>0.5821669258683255</v>
      </c>
      <c r="K9" s="11">
        <v>0.1982892690513219</v>
      </c>
      <c r="L9" s="11">
        <v>0.2195438050803525</v>
      </c>
      <c r="M9" s="11">
        <v>0.0050859503247569</v>
      </c>
    </row>
    <row r="10" spans="1:13" x14ac:dyDescent="0.25">
      <c r="A10" t="s">
        <v>73</v>
      </c>
      <c r="B10" t="s">
        <v>76</v>
      </c>
      <c r="C10" t="s">
        <v>116</v>
      </c>
      <c r="D10" t="s">
        <v>117</v>
      </c>
      <c r="E10" s="10">
        <v>4472</v>
      </c>
      <c r="F10" s="10">
        <v>1256365</v>
      </c>
      <c r="G10" s="11">
        <v>0.2230030491711003</v>
      </c>
      <c r="H10" s="11">
        <v>0.2355546493369808</v>
      </c>
      <c r="I10" s="11">
        <v>0.196642685851319</v>
      </c>
      <c r="J10" s="11">
        <v>0.928443649373882</v>
      </c>
      <c r="K10" s="11">
        <v>0.0418157423971377</v>
      </c>
      <c r="L10" s="11">
        <v>0.0297406082289803</v>
      </c>
      <c r="M10" s="11">
        <v>5.014466337409909E-05</v>
      </c>
    </row>
    <row r="11" spans="1:13" x14ac:dyDescent="0.25">
      <c r="A11" t="s">
        <v>61</v>
      </c>
      <c r="B11" t="s">
        <v>70</v>
      </c>
      <c r="C11" t="s">
        <v>116</v>
      </c>
      <c r="D11" t="s">
        <v>117</v>
      </c>
      <c r="E11" s="10">
        <v>884</v>
      </c>
      <c r="F11" s="10">
        <v>482330</v>
      </c>
      <c r="G11" s="11">
        <v>0</v>
      </c>
      <c r="H11" s="11">
        <v>-0.0250568712441267</v>
      </c>
      <c r="I11" s="11">
        <v>-0.027793218454697</v>
      </c>
      <c r="J11" s="11">
        <v>0.2726244343891402</v>
      </c>
      <c r="K11" s="11">
        <v>0.2895927601809955</v>
      </c>
      <c r="L11" s="11">
        <v>0.4377828054298642</v>
      </c>
      <c r="M11" s="11">
        <v>0.222735471565111</v>
      </c>
    </row>
    <row r="12" spans="1:13" x14ac:dyDescent="0.25">
      <c r="A12" t="s">
        <v>73</v>
      </c>
      <c r="B12" t="s">
        <v>70</v>
      </c>
      <c r="C12" t="s">
        <v>116</v>
      </c>
      <c r="D12" t="s">
        <v>117</v>
      </c>
      <c r="E12" s="10">
        <v>1254</v>
      </c>
      <c r="F12" s="10">
        <v>542510</v>
      </c>
      <c r="G12" s="11">
        <v>0</v>
      </c>
      <c r="H12" s="11">
        <v>-0.0132318302232471</v>
      </c>
      <c r="I12" s="11">
        <v>0</v>
      </c>
      <c r="J12" s="11">
        <v>0.2990430622009569</v>
      </c>
      <c r="K12" s="11">
        <v>0.2966507177033493</v>
      </c>
      <c r="L12" s="11">
        <v>0.4043062200956938</v>
      </c>
      <c r="M12" s="11">
        <v>0.2833293395513446</v>
      </c>
    </row>
    <row r="13" spans="1:13" x14ac:dyDescent="0.25">
      <c r="A13" t="s">
        <v>61</v>
      </c>
      <c r="B13" t="s">
        <v>83</v>
      </c>
      <c r="C13" t="s">
        <v>116</v>
      </c>
      <c r="D13" t="s">
        <v>118</v>
      </c>
      <c r="E13" s="10">
        <v>4733</v>
      </c>
      <c r="F13" s="10">
        <v>1981567</v>
      </c>
      <c r="G13" s="11">
        <v>-0.08006405124099281</v>
      </c>
      <c r="H13" s="11">
        <v>-0.08060414530200639</v>
      </c>
      <c r="I13" s="11">
        <v>-0.0755007704160246</v>
      </c>
      <c r="J13" s="11">
        <v>0.181069089372491</v>
      </c>
      <c r="K13" s="11">
        <v>0.1102894570040143</v>
      </c>
      <c r="L13" s="11">
        <v>0.7086414536234946</v>
      </c>
      <c r="M13" s="11">
        <v>0.0806558647777238</v>
      </c>
    </row>
    <row r="14" spans="1:13" x14ac:dyDescent="0.25">
      <c r="A14" t="s">
        <v>66</v>
      </c>
      <c r="B14" t="s">
        <v>83</v>
      </c>
      <c r="C14" t="s">
        <v>116</v>
      </c>
      <c r="D14" t="s">
        <v>118</v>
      </c>
      <c r="E14" s="10">
        <v>4566</v>
      </c>
      <c r="F14" s="10">
        <v>1842301</v>
      </c>
      <c r="G14" s="11">
        <v>-0.2227575393902179</v>
      </c>
      <c r="H14" s="11">
        <v>-0.2349496356938636</v>
      </c>
      <c r="I14" s="11">
        <v>-0.1828373252839246</v>
      </c>
      <c r="J14" s="11">
        <v>0.0240911081909767</v>
      </c>
      <c r="K14" s="11">
        <v>0.0245291283399036</v>
      </c>
      <c r="L14" s="11">
        <v>0.9513797634691196</v>
      </c>
      <c r="M14" s="11">
        <v>0.0178591880479899</v>
      </c>
    </row>
    <row r="15" spans="1:13" x14ac:dyDescent="0.25">
      <c r="A15" t="s">
        <v>73</v>
      </c>
      <c r="B15" t="s">
        <v>83</v>
      </c>
      <c r="C15" t="s">
        <v>116</v>
      </c>
      <c r="D15" t="s">
        <v>118</v>
      </c>
      <c r="E15" s="10">
        <v>5671</v>
      </c>
      <c r="F15" s="10">
        <v>1642070</v>
      </c>
      <c r="G15" s="11">
        <v>-0.07223942208462331</v>
      </c>
      <c r="H15" s="11">
        <v>-0.07332284678418011</v>
      </c>
      <c r="I15" s="11">
        <v>-0.0556173526140155</v>
      </c>
      <c r="J15" s="11">
        <v>0.2098395344736378</v>
      </c>
      <c r="K15" s="11">
        <v>0.1091518250749426</v>
      </c>
      <c r="L15" s="11">
        <v>0.6810086404514195</v>
      </c>
      <c r="M15" s="11">
        <v>0.1117912147472397</v>
      </c>
    </row>
    <row r="16" spans="1:13" x14ac:dyDescent="0.25">
      <c r="A16" t="s">
        <v>76</v>
      </c>
      <c r="B16" t="s">
        <v>83</v>
      </c>
      <c r="C16" t="s">
        <v>116</v>
      </c>
      <c r="D16" t="s">
        <v>118</v>
      </c>
      <c r="E16" s="10">
        <v>3754</v>
      </c>
      <c r="F16" s="10">
        <v>1315991</v>
      </c>
      <c r="G16" s="11">
        <v>-0.2354312354312354</v>
      </c>
      <c r="H16" s="11">
        <v>-0.2492806307013114</v>
      </c>
      <c r="I16" s="11">
        <v>-0.2119999999999999</v>
      </c>
      <c r="J16" s="11">
        <v>0.009057005860415499</v>
      </c>
      <c r="K16" s="11">
        <v>0.0114544485881726</v>
      </c>
      <c r="L16" s="11">
        <v>0.9794885455514118</v>
      </c>
      <c r="M16" s="11">
        <v>0.000515960975417</v>
      </c>
    </row>
    <row r="17" spans="1:13" x14ac:dyDescent="0.25">
      <c r="A17" t="s">
        <v>73</v>
      </c>
      <c r="B17" t="s">
        <v>80</v>
      </c>
      <c r="C17" t="s">
        <v>116</v>
      </c>
      <c r="D17" t="s">
        <v>119</v>
      </c>
      <c r="E17" s="10">
        <v>708</v>
      </c>
      <c r="F17" s="10">
        <v>267888</v>
      </c>
      <c r="G17" s="11">
        <v>0</v>
      </c>
      <c r="H17" s="11">
        <v>0.0270121109193729</v>
      </c>
      <c r="I17" s="11">
        <v>-0.0400801603206413</v>
      </c>
      <c r="J17" s="11">
        <v>0.403954802259887</v>
      </c>
      <c r="K17" s="11">
        <v>0.173728813559322</v>
      </c>
      <c r="L17" s="11">
        <v>0.422316384180791</v>
      </c>
      <c r="M17" s="11">
        <v>0.1557105954727349</v>
      </c>
    </row>
  </sheetData>
  <conditionalFormatting sqref="G5:G17">
    <cfRule type="colorScale" priority="1">
      <colorScale>
        <cfvo type="min" val="0"/>
        <cfvo type="num" val="0"/>
        <cfvo type="max" val="0"/>
        <color rgb="FF2A78D6"/>
        <color rgb="FFF0EFEC"/>
        <color rgb="FFE34948"/>
      </colorScale>
    </cfRule>
  </conditionalFormatting>
  <conditionalFormatting sqref="M5:M17">
    <cfRule type="dataBar" priority="2">
      <dataBar>
        <cfvo type="min"/>
        <cfvo type="max"/>
        <color rgb="FFEB6834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EB6834"/>
              <x14:negativeFillColor rgb="FFFF0000"/>
              <x14:negativeBorderColor rgb="FFFF0000"/>
              <x14:axisColor rgb="FF000000"/>
            </x14:dataBar>
          </x14:cfRule>
          <xm:sqref>M5:M17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D60"/>
  <sheetViews>
    <sheetView showGridLines="0" workbookViewId="0"/>
  </sheetViews>
  <sheetFormatPr defaultRowHeight="15"/>
  <cols>
    <col min="1" max="1" width="26.7109375" customWidth="1"/>
    <col min="2" max="2" width="15.7109375" customWidth="1"/>
    <col min="3" max="3" width="11.7109375" customWidth="1"/>
    <col min="4" max="4" width="24.7109375" customWidth="1"/>
  </cols>
  <sheetData>
    <row r="1" spans="1:4">
      <c r="A1" s="1" t="s">
        <v>120</v>
      </c>
    </row>
    <row r="2" spans="1:4">
      <c r="A2" s="2" t="s">
        <v>121</v>
      </c>
    </row>
    <row r="4" spans="1:4" ht="32" customHeight="1">
      <c r="A4" s="9" t="s">
        <v>89</v>
      </c>
      <c r="B4" s="9" t="s">
        <v>122</v>
      </c>
      <c r="C4" s="9" t="s">
        <v>123</v>
      </c>
      <c r="D4" s="9" t="s">
        <v>124</v>
      </c>
    </row>
    <row r="5" spans="1:4">
      <c r="A5" s="13">
        <v>45323</v>
      </c>
      <c r="B5" s="10">
        <v>91</v>
      </c>
      <c r="C5" s="11">
        <v>0.0556173526140155</v>
      </c>
      <c r="D5" s="11">
        <v>0.1807909604519774</v>
      </c>
    </row>
    <row r="6" spans="1:4">
      <c r="A6" s="13">
        <v>45352</v>
      </c>
      <c r="B6" s="10">
        <v>173</v>
      </c>
      <c r="C6" s="11">
        <v>0.0527704485488127</v>
      </c>
      <c r="D6" s="11">
        <v>0.1747173689619733</v>
      </c>
    </row>
    <row r="7" spans="1:4">
      <c r="A7" s="13">
        <v>45383</v>
      </c>
      <c r="B7" s="10">
        <v>175</v>
      </c>
      <c r="C7" s="11">
        <v>0.0527704485488127</v>
      </c>
      <c r="D7" s="11">
        <v>0.1547545059042883</v>
      </c>
    </row>
    <row r="8" spans="1:4">
      <c r="A8" s="13">
        <v>45413</v>
      </c>
      <c r="B8" s="10">
        <v>170</v>
      </c>
      <c r="C8" s="11">
        <v>0.0546448087431694</v>
      </c>
      <c r="D8" s="11">
        <v>0.2026890756302521</v>
      </c>
    </row>
    <row r="9" spans="1:4">
      <c r="A9" s="13">
        <v>45444</v>
      </c>
      <c r="B9" s="10">
        <v>4126</v>
      </c>
      <c r="C9" s="11">
        <v>0.1111934766493698</v>
      </c>
      <c r="D9" s="11">
        <v>0.1817515035939562</v>
      </c>
    </row>
    <row r="10" spans="1:4">
      <c r="A10" s="13">
        <v>45474</v>
      </c>
      <c r="B10" s="10">
        <v>4268</v>
      </c>
      <c r="C10" s="11">
        <v>0.111358574610245</v>
      </c>
      <c r="D10" s="11">
        <v>0.19222579948364</v>
      </c>
    </row>
    <row r="11" spans="1:4">
      <c r="A11" s="13">
        <v>45505</v>
      </c>
      <c r="B11" s="10">
        <v>4534</v>
      </c>
      <c r="C11" s="11">
        <v>0.1173184357541898</v>
      </c>
      <c r="D11" s="11">
        <v>0.1858773592681117</v>
      </c>
    </row>
    <row r="12" spans="1:4">
      <c r="A12" s="13">
        <v>45536</v>
      </c>
      <c r="B12" s="10">
        <v>9639</v>
      </c>
      <c r="C12" s="11">
        <v>0.1305483028720626</v>
      </c>
      <c r="D12" s="11">
        <v>0.1691875414864891</v>
      </c>
    </row>
    <row r="13" spans="1:4">
      <c r="A13" s="13">
        <v>45566</v>
      </c>
      <c r="B13" s="10">
        <v>9669</v>
      </c>
      <c r="C13" s="11">
        <v>0.1429933269780743</v>
      </c>
      <c r="D13" s="11">
        <v>0.1643629300152018</v>
      </c>
    </row>
    <row r="14" spans="1:4">
      <c r="A14" s="13">
        <v>45597</v>
      </c>
      <c r="B14" s="10">
        <v>10286</v>
      </c>
      <c r="C14" s="11">
        <v>0.1428571428571428</v>
      </c>
      <c r="D14" s="11">
        <v>0.1526834896396575</v>
      </c>
    </row>
    <row r="15" spans="1:4">
      <c r="A15" s="13">
        <v>45627</v>
      </c>
      <c r="B15" s="10">
        <v>10891</v>
      </c>
      <c r="C15" s="11">
        <v>0.1431980906921239</v>
      </c>
      <c r="D15" s="11">
        <v>0.1485080942371215</v>
      </c>
    </row>
    <row r="16" spans="1:4">
      <c r="A16" s="13">
        <v>45658</v>
      </c>
      <c r="B16" s="10">
        <v>10215</v>
      </c>
      <c r="C16" s="11">
        <v>0.1428571428571428</v>
      </c>
      <c r="D16" s="11">
        <v>0.14060536592138</v>
      </c>
    </row>
    <row r="17" spans="1:4">
      <c r="A17" s="13">
        <v>45689</v>
      </c>
      <c r="B17" s="10">
        <v>9920</v>
      </c>
      <c r="C17" s="11">
        <v>0.1429592566118656</v>
      </c>
      <c r="D17" s="11">
        <v>0.1344447909628012</v>
      </c>
    </row>
    <row r="18" spans="1:4">
      <c r="A18" s="13">
        <v>45717</v>
      </c>
      <c r="B18" s="10">
        <v>11115</v>
      </c>
      <c r="C18" s="11">
        <v>0.1429592566118656</v>
      </c>
      <c r="D18" s="11">
        <v>0.1217936063943505</v>
      </c>
    </row>
    <row r="19" spans="1:4">
      <c r="A19" s="13">
        <v>45748</v>
      </c>
      <c r="B19" s="10">
        <v>11420</v>
      </c>
      <c r="C19" s="11">
        <v>0.1342281879194631</v>
      </c>
      <c r="D19" s="11">
        <v>0.1250186700777058</v>
      </c>
    </row>
    <row r="20" spans="1:4">
      <c r="A20" s="13">
        <v>45778</v>
      </c>
      <c r="B20" s="10">
        <v>11289</v>
      </c>
      <c r="C20" s="11">
        <v>0.1323251417769375</v>
      </c>
      <c r="D20" s="11">
        <v>0.1315699123211813</v>
      </c>
    </row>
    <row r="21" spans="1:4">
      <c r="A21" s="13">
        <v>45809</v>
      </c>
      <c r="B21" s="10">
        <v>10642</v>
      </c>
      <c r="C21" s="11">
        <v>0.1335113484646195</v>
      </c>
      <c r="D21" s="11">
        <v>0.1339348337795012</v>
      </c>
    </row>
    <row r="22" spans="1:4">
      <c r="A22" s="13">
        <v>45839</v>
      </c>
      <c r="B22" s="10">
        <v>10593</v>
      </c>
      <c r="C22" s="11">
        <v>0.1323251417769375</v>
      </c>
      <c r="D22" s="11">
        <v>0.1279123884365257</v>
      </c>
    </row>
    <row r="23" spans="1:4">
      <c r="A23" s="13">
        <v>45870</v>
      </c>
      <c r="B23" s="10">
        <v>10374</v>
      </c>
      <c r="C23" s="11">
        <v>0.1319261213720317</v>
      </c>
      <c r="D23" s="11">
        <v>0.1294229341382962</v>
      </c>
    </row>
    <row r="24" spans="1:4">
      <c r="A24" s="13">
        <v>45901</v>
      </c>
      <c r="B24" s="10">
        <v>77</v>
      </c>
      <c r="C24" s="11">
        <v>0.1173184357541898</v>
      </c>
      <c r="D24" s="11">
        <v>0.1755102040816326</v>
      </c>
    </row>
    <row r="25" spans="1:4">
      <c r="A25" s="13">
        <v>45931</v>
      </c>
      <c r="B25" s="10">
        <v>11461</v>
      </c>
      <c r="C25" s="11">
        <v>0.1400000000000001</v>
      </c>
      <c r="D25" s="11">
        <v>0.1085486995589629</v>
      </c>
    </row>
    <row r="26" spans="1:4">
      <c r="A26" s="13">
        <v>45962</v>
      </c>
      <c r="B26" s="10">
        <v>11389</v>
      </c>
      <c r="C26" s="11">
        <v>0.1253132832080201</v>
      </c>
      <c r="D26" s="11">
        <v>0.1232406278820797</v>
      </c>
    </row>
    <row r="27" spans="1:4">
      <c r="A27" s="13">
        <v>45992</v>
      </c>
      <c r="B27" s="10">
        <v>11258</v>
      </c>
      <c r="C27" s="11">
        <v>0.1334222815210139</v>
      </c>
      <c r="D27" s="11">
        <v>0.1130800444403738</v>
      </c>
    </row>
    <row r="28" spans="1:4">
      <c r="A28" s="13">
        <v>46023</v>
      </c>
      <c r="B28" s="10">
        <v>11442</v>
      </c>
      <c r="C28" s="11">
        <v>0.1428571428571428</v>
      </c>
      <c r="D28" s="11">
        <v>0.1015526227853508</v>
      </c>
    </row>
    <row r="29" spans="1:4">
      <c r="A29" s="13">
        <v>46054</v>
      </c>
      <c r="B29" s="10">
        <v>12165</v>
      </c>
      <c r="C29" s="11">
        <v>0.1414285714285715</v>
      </c>
      <c r="D29" s="11">
        <v>0.1036469875545399</v>
      </c>
    </row>
    <row r="30" spans="1:4">
      <c r="A30" s="13">
        <v>46082</v>
      </c>
      <c r="B30" s="10">
        <v>11881</v>
      </c>
      <c r="C30" s="11">
        <v>0.1371428571428572</v>
      </c>
      <c r="D30" s="11">
        <v>0.1082587637695283</v>
      </c>
    </row>
    <row r="31" spans="1:4">
      <c r="A31" s="13">
        <v>46113</v>
      </c>
      <c r="B31" s="10">
        <v>11889</v>
      </c>
      <c r="C31" s="11">
        <v>0.1354545454545455</v>
      </c>
      <c r="D31" s="11">
        <v>0.1113478761718732</v>
      </c>
    </row>
    <row r="32" spans="1:4">
      <c r="A32" s="13">
        <v>46143</v>
      </c>
      <c r="B32" s="10">
        <v>11914</v>
      </c>
      <c r="C32" s="11">
        <v>0.1378015549312803</v>
      </c>
      <c r="D32" s="11">
        <v>0.1155349176245081</v>
      </c>
    </row>
    <row r="33" spans="1:4">
      <c r="A33" s="13">
        <v>46174</v>
      </c>
      <c r="B33" s="10">
        <v>11304</v>
      </c>
      <c r="C33" s="11">
        <v>0.1364256480218282</v>
      </c>
      <c r="D33" s="11">
        <v>0.1153547765329478</v>
      </c>
    </row>
    <row r="34" spans="1:4">
      <c r="A34" s="13">
        <v>46204</v>
      </c>
      <c r="B34" s="10">
        <v>11274</v>
      </c>
      <c r="C34" s="11">
        <v>0.1364877161055504</v>
      </c>
      <c r="D34" s="11">
        <v>0.1153306394631362</v>
      </c>
    </row>
    <row r="35" spans="1:4">
      <c r="A35" s="13">
        <v>46235</v>
      </c>
      <c r="B35" s="10">
        <v>11318</v>
      </c>
      <c r="C35" s="11">
        <v>0.1335559265442402</v>
      </c>
      <c r="D35" s="11">
        <v>0.1182537235972856</v>
      </c>
    </row>
    <row r="36" spans="1:4">
      <c r="A36" s="13">
        <v>46266</v>
      </c>
      <c r="B36" s="10">
        <v>11431</v>
      </c>
      <c r="C36" s="11">
        <v>0.1414285714285715</v>
      </c>
      <c r="D36" s="11">
        <v>0.1149837982792655</v>
      </c>
    </row>
    <row r="37" spans="1:4">
      <c r="A37" s="13">
        <v>46296</v>
      </c>
      <c r="B37" s="10">
        <v>11200</v>
      </c>
      <c r="C37" s="11">
        <v>0.1400000000000001</v>
      </c>
      <c r="D37" s="11">
        <v>0.1173339944630387</v>
      </c>
    </row>
    <row r="41" spans="1:4" ht="32" customHeight="1">
      <c r="A41" s="9" t="s">
        <v>125</v>
      </c>
      <c r="B41" s="9" t="s">
        <v>126</v>
      </c>
      <c r="C41" s="9" t="s">
        <v>54</v>
      </c>
      <c r="D41" s="9" t="s">
        <v>127</v>
      </c>
    </row>
    <row r="42" spans="1:4">
      <c r="A42" t="s">
        <v>128</v>
      </c>
      <c r="B42" t="b">
        <v>0</v>
      </c>
      <c r="C42" s="10">
        <v>660</v>
      </c>
      <c r="D42" s="11">
        <v>0.1165501165501166</v>
      </c>
    </row>
    <row r="43" spans="1:4">
      <c r="A43" t="s">
        <v>128</v>
      </c>
      <c r="B43" t="b">
        <v>1</v>
      </c>
      <c r="C43" s="10">
        <v>208</v>
      </c>
      <c r="D43" s="11">
        <v>0.1000500489114621</v>
      </c>
    </row>
    <row r="44" spans="1:4">
      <c r="A44" t="s">
        <v>129</v>
      </c>
      <c r="B44" t="b">
        <v>0</v>
      </c>
      <c r="C44" s="10">
        <v>2738</v>
      </c>
      <c r="D44" s="11">
        <v>0.1430615164520743</v>
      </c>
    </row>
    <row r="45" spans="1:4">
      <c r="A45" t="s">
        <v>129</v>
      </c>
      <c r="B45" t="b">
        <v>1</v>
      </c>
      <c r="C45" s="10">
        <v>563</v>
      </c>
      <c r="D45" s="11">
        <v>0.1225</v>
      </c>
    </row>
    <row r="46" spans="1:4">
      <c r="A46" t="s">
        <v>130</v>
      </c>
      <c r="B46" t="b">
        <v>0</v>
      </c>
      <c r="C46" s="10">
        <v>1600</v>
      </c>
      <c r="D46" s="11">
        <v>0.108888888888889</v>
      </c>
    </row>
    <row r="47" spans="1:4">
      <c r="A47" t="s">
        <v>130</v>
      </c>
      <c r="B47" t="b">
        <v>1</v>
      </c>
      <c r="C47" s="10">
        <v>503</v>
      </c>
      <c r="D47" s="11">
        <v>0.0909090909090908</v>
      </c>
    </row>
    <row r="48" spans="1:4">
      <c r="A48" t="s">
        <v>131</v>
      </c>
      <c r="B48" t="b">
        <v>0</v>
      </c>
      <c r="C48" s="10">
        <v>362</v>
      </c>
      <c r="D48" s="11">
        <v>0.1326666666666665</v>
      </c>
    </row>
    <row r="49" spans="1:4">
      <c r="A49" t="s">
        <v>131</v>
      </c>
      <c r="B49" t="b">
        <v>1</v>
      </c>
      <c r="C49" s="10">
        <v>101</v>
      </c>
      <c r="D49" s="11">
        <v>0.0711322972383182</v>
      </c>
    </row>
    <row r="50" spans="1:4">
      <c r="A50" t="s">
        <v>132</v>
      </c>
      <c r="B50" t="b">
        <v>0</v>
      </c>
      <c r="C50" s="10">
        <v>79</v>
      </c>
      <c r="D50" s="11">
        <v>0.0370644922164566</v>
      </c>
    </row>
    <row r="51" spans="1:4">
      <c r="A51" t="s">
        <v>133</v>
      </c>
      <c r="B51" t="b">
        <v>0</v>
      </c>
      <c r="C51" s="10">
        <v>1138</v>
      </c>
      <c r="D51" s="11">
        <v>0.1274372458723323</v>
      </c>
    </row>
    <row r="52" spans="1:4">
      <c r="A52" t="s">
        <v>133</v>
      </c>
      <c r="B52" t="b">
        <v>1</v>
      </c>
      <c r="C52" s="10">
        <v>351</v>
      </c>
      <c r="D52" s="11">
        <v>0.1054481546572934</v>
      </c>
    </row>
    <row r="53" spans="1:4">
      <c r="A53" t="s">
        <v>134</v>
      </c>
      <c r="B53" t="b">
        <v>0</v>
      </c>
      <c r="C53" s="10">
        <v>2259</v>
      </c>
      <c r="D53" s="11">
        <v>0.1225</v>
      </c>
    </row>
    <row r="54" spans="1:4">
      <c r="A54" t="s">
        <v>134</v>
      </c>
      <c r="B54" t="b">
        <v>1</v>
      </c>
      <c r="C54" s="10">
        <v>598</v>
      </c>
      <c r="D54" s="11">
        <v>0.1177163423408648</v>
      </c>
    </row>
    <row r="55" spans="1:4">
      <c r="A55" t="s">
        <v>135</v>
      </c>
      <c r="B55" t="b">
        <v>0</v>
      </c>
      <c r="C55" s="10">
        <v>1879</v>
      </c>
      <c r="D55" s="11">
        <v>0.1323251417769375</v>
      </c>
    </row>
    <row r="56" spans="1:4">
      <c r="A56" t="s">
        <v>135</v>
      </c>
      <c r="B56" t="b">
        <v>1</v>
      </c>
      <c r="C56" s="10">
        <v>477</v>
      </c>
      <c r="D56" s="11">
        <v>0.149</v>
      </c>
    </row>
    <row r="57" spans="1:4">
      <c r="A57" t="s">
        <v>136</v>
      </c>
      <c r="B57" t="b">
        <v>0</v>
      </c>
      <c r="C57" s="10">
        <v>1280</v>
      </c>
      <c r="D57" s="11">
        <v>0.1540832049306626</v>
      </c>
    </row>
    <row r="58" spans="1:4">
      <c r="A58" t="s">
        <v>136</v>
      </c>
      <c r="B58" t="b">
        <v>1</v>
      </c>
      <c r="C58" s="10">
        <v>527</v>
      </c>
      <c r="D58" s="11">
        <v>0.1323251417769375</v>
      </c>
    </row>
    <row r="59" spans="1:4">
      <c r="A59" t="s">
        <v>137</v>
      </c>
      <c r="B59" t="b">
        <v>0</v>
      </c>
      <c r="C59" s="10">
        <v>1360</v>
      </c>
      <c r="D59" s="11">
        <v>0.144492131616595</v>
      </c>
    </row>
    <row r="60" spans="1:4">
      <c r="A60" t="s">
        <v>137</v>
      </c>
      <c r="B60" t="b">
        <v>1</v>
      </c>
      <c r="C60" s="10">
        <v>175</v>
      </c>
      <c r="D60" s="11">
        <v>0.1400000000000001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30"/>
  <sheetViews>
    <sheetView showGridLines="0" workbookViewId="0"/>
  </sheetViews>
  <sheetFormatPr defaultRowHeight="15"/>
  <cols>
    <col min="1" max="2" width="11.7109375" customWidth="1"/>
    <col min="3" max="3" width="24.7109375" customWidth="1"/>
    <col min="4" max="4" width="11.7109375" customWidth="1"/>
    <col min="5" max="5" width="13.7109375" customWidth="1"/>
    <col min="6" max="6" width="12.7109375" customWidth="1"/>
    <col min="7" max="7" width="13.7109375" customWidth="1"/>
    <col min="8" max="8" width="12.7109375" customWidth="1"/>
    <col min="9" max="9" width="13.7109375" customWidth="1"/>
    <col min="10" max="10" width="12.7109375" customWidth="1"/>
    <col min="11" max="11" width="13.7109375" customWidth="1"/>
    <col min="12" max="12" width="12.7109375" customWidth="1"/>
    <col min="13" max="16" width="10.7109375" customWidth="1"/>
  </cols>
  <sheetData>
    <row r="1" spans="1:16">
      <c r="A1" s="1" t="s">
        <v>138</v>
      </c>
    </row>
    <row r="2" spans="1:16">
      <c r="A2" s="2" t="s">
        <v>139</v>
      </c>
    </row>
    <row r="4" spans="1:16" ht="32" customHeight="1">
      <c r="A4" s="9" t="s">
        <v>101</v>
      </c>
      <c r="B4" s="9" t="s">
        <v>102</v>
      </c>
      <c r="C4" s="9" t="s">
        <v>140</v>
      </c>
      <c r="D4" s="9" t="s">
        <v>141</v>
      </c>
      <c r="E4" s="9" t="s">
        <v>142</v>
      </c>
      <c r="F4" s="9" t="s">
        <v>143</v>
      </c>
      <c r="G4" s="9" t="s">
        <v>144</v>
      </c>
      <c r="H4" s="9" t="s">
        <v>145</v>
      </c>
      <c r="I4" s="9" t="s">
        <v>146</v>
      </c>
      <c r="J4" s="9" t="s">
        <v>147</v>
      </c>
      <c r="K4" s="9" t="s">
        <v>148</v>
      </c>
      <c r="L4" s="9" t="s">
        <v>149</v>
      </c>
      <c r="M4" s="9" t="s">
        <v>150</v>
      </c>
      <c r="N4" s="9" t="s">
        <v>151</v>
      </c>
      <c r="O4" s="9" t="s">
        <v>152</v>
      </c>
      <c r="P4" s="9" t="s">
        <v>153</v>
      </c>
    </row>
    <row r="5" spans="1:16">
      <c r="A5" t="s">
        <v>61</v>
      </c>
      <c r="B5" t="s">
        <v>66</v>
      </c>
      <c r="C5" t="s">
        <v>115</v>
      </c>
      <c r="D5" s="10">
        <v>68517</v>
      </c>
      <c r="E5" s="11">
        <v>0.06630471269903811</v>
      </c>
      <c r="F5" s="11">
        <v>0.031043830384346</v>
      </c>
      <c r="G5" s="11">
        <v>0.08022826451829471</v>
      </c>
      <c r="H5" s="11">
        <v>0.0412332770842108</v>
      </c>
      <c r="I5" s="11">
        <v>0.09275070420479579</v>
      </c>
      <c r="J5" s="11">
        <v>0.051986076404053</v>
      </c>
      <c r="K5" s="11">
        <v>0.1682502152750412</v>
      </c>
      <c r="L5" s="11">
        <v>0.1284443973548268</v>
      </c>
      <c r="M5" s="14">
        <f>IFERROR(E5/F5,"")</f>
        <v>2.135841868678441</v>
      </c>
      <c r="N5" s="14">
        <f>IFERROR(G5/H5,"")</f>
        <v>1.9457164259450987</v>
      </c>
      <c r="O5" s="14">
        <f>IFERROR(I5/J5,"")</f>
        <v>1.78414511385523</v>
      </c>
      <c r="P5" s="14">
        <f>IFERROR(K5/L5,"")</f>
        <v>1.3099070005385367</v>
      </c>
    </row>
    <row r="6" spans="1:16">
      <c r="A6" t="s">
        <v>66</v>
      </c>
      <c r="B6" t="s">
        <v>61</v>
      </c>
      <c r="C6" t="s">
        <v>115</v>
      </c>
      <c r="D6" s="10">
        <v>67387</v>
      </c>
      <c r="E6" s="11">
        <v>0.0674165640257022</v>
      </c>
      <c r="F6" s="11">
        <v>0.0320557807409146</v>
      </c>
      <c r="G6" s="11">
        <v>0.08158843693887539</v>
      </c>
      <c r="H6" s="11">
        <v>0.0423158720543931</v>
      </c>
      <c r="I6" s="11">
        <v>0.0943653820469823</v>
      </c>
      <c r="J6" s="11">
        <v>0.0531149850701662</v>
      </c>
      <c r="K6" s="11">
        <v>0.171012213038123</v>
      </c>
      <c r="L6" s="11">
        <v>0.1328821917369574</v>
      </c>
      <c r="M6" s="14">
        <f>IFERROR(E6/F6,"")</f>
        <v>2.103101608118206</v>
      </c>
      <c r="N6" s="14">
        <f>IFERROR(G6/H6,"")</f>
        <v>1.928081189819296</v>
      </c>
      <c r="O6" s="14">
        <f>IFERROR(I6/J6,"")</f>
        <v>1.7766244671315137</v>
      </c>
      <c r="P6" s="14">
        <f>IFERROR(K6/L6,"")</f>
        <v>1.286946059534032</v>
      </c>
    </row>
    <row r="7" spans="1:16">
      <c r="A7" t="s">
        <v>61</v>
      </c>
      <c r="B7" t="s">
        <v>73</v>
      </c>
      <c r="C7" t="s">
        <v>117</v>
      </c>
      <c r="D7" s="10">
        <v>23865</v>
      </c>
      <c r="E7" s="11">
        <v>0.0125707102451288</v>
      </c>
      <c r="F7" s="11">
        <v>0.0138154550076258</v>
      </c>
      <c r="G7" s="11">
        <v>0.0147915357217682</v>
      </c>
      <c r="H7" s="11">
        <v>0.0167323335027961</v>
      </c>
      <c r="I7" s="11">
        <v>0.022082547663943</v>
      </c>
      <c r="J7" s="11">
        <v>0.0214984748347737</v>
      </c>
      <c r="K7" s="11">
        <v>0.055646344018437</v>
      </c>
      <c r="L7" s="11">
        <v>0.0521860701576004</v>
      </c>
      <c r="M7" s="14">
        <f>IFERROR(E7/F7,"")</f>
        <v>0.9099020074395012</v>
      </c>
      <c r="N7" s="14">
        <f>IFERROR(G7/H7,"")</f>
        <v>0.8840091383127446</v>
      </c>
      <c r="O7" s="14">
        <f>IFERROR(I7/J7,"")</f>
        <v>1.027168105349711</v>
      </c>
      <c r="P7" s="14">
        <f>IFERROR(K7/L7,"")</f>
        <v>1.0663064655067285</v>
      </c>
    </row>
    <row r="8" spans="1:16">
      <c r="A8" t="s">
        <v>73</v>
      </c>
      <c r="B8" t="s">
        <v>61</v>
      </c>
      <c r="C8" t="s">
        <v>117</v>
      </c>
      <c r="D8" s="10">
        <v>9491</v>
      </c>
      <c r="E8" s="11">
        <v>0.031608892635128</v>
      </c>
      <c r="F8" s="11">
        <v>0.0322671614100185</v>
      </c>
      <c r="G8" s="11">
        <v>0.040248656622063</v>
      </c>
      <c r="H8" s="11">
        <v>0.0418404452690166</v>
      </c>
      <c r="I8" s="11">
        <v>0.0596354441049415</v>
      </c>
      <c r="J8" s="11">
        <v>0.0544415584415584</v>
      </c>
      <c r="K8" s="11">
        <v>0.1433990095880307</v>
      </c>
      <c r="L8" s="11">
        <v>0.131873840445269</v>
      </c>
      <c r="M8" s="14">
        <f>IFERROR(E8/F8,"")</f>
        <v>0.9795994210173644</v>
      </c>
      <c r="N8" s="14">
        <f>IFERROR(G8/H8,"")</f>
        <v>0.9619557431399416</v>
      </c>
      <c r="O8" s="14">
        <f>IFERROR(I8/J8,"")</f>
        <v>1.0954029570802712</v>
      </c>
      <c r="P8" s="14">
        <f>IFERROR(K8/L8,"")</f>
        <v>1.0873954159812689</v>
      </c>
    </row>
    <row r="9" spans="1:16">
      <c r="A9" t="s">
        <v>66</v>
      </c>
      <c r="B9" t="s">
        <v>73</v>
      </c>
      <c r="C9" t="s">
        <v>117</v>
      </c>
      <c r="D9" s="10">
        <v>22620</v>
      </c>
      <c r="E9" s="11">
        <v>0.0135720601237842</v>
      </c>
      <c r="F9" s="11">
        <v>0.0118560224127546</v>
      </c>
      <c r="G9" s="11">
        <v>0.0157824933687002</v>
      </c>
      <c r="H9" s="11">
        <v>0.0148064937437826</v>
      </c>
      <c r="I9" s="11">
        <v>0.0232979664014146</v>
      </c>
      <c r="J9" s="11">
        <v>0.0207209706779993</v>
      </c>
      <c r="K9" s="11">
        <v>0.0521662245800176</v>
      </c>
      <c r="L9" s="11">
        <v>0.0472278427046889</v>
      </c>
      <c r="M9" s="14">
        <f>IFERROR(E9/F9,"")</f>
        <v>1.144739749241993</v>
      </c>
      <c r="N9" s="14">
        <f>IFERROR(G9/H9,"")</f>
        <v>1.065916998433704</v>
      </c>
      <c r="O9" s="14">
        <f>IFERROR(I9/J9,"")</f>
        <v>1.1243665542247716</v>
      </c>
      <c r="P9" s="14">
        <f>IFERROR(K9/L9,"")</f>
        <v>1.1045650529965545</v>
      </c>
    </row>
    <row r="10" spans="1:16">
      <c r="A10" t="s">
        <v>73</v>
      </c>
      <c r="B10" t="s">
        <v>66</v>
      </c>
      <c r="C10" t="s">
        <v>117</v>
      </c>
      <c r="D10" s="10">
        <v>9067</v>
      </c>
      <c r="E10" s="11">
        <v>0.0338590492996581</v>
      </c>
      <c r="F10" s="11">
        <v>0.028076923076923</v>
      </c>
      <c r="G10" s="11">
        <v>0.0435645748318076</v>
      </c>
      <c r="H10" s="11">
        <v>0.0395192307692307</v>
      </c>
      <c r="I10" s="11">
        <v>0.06385794639902941</v>
      </c>
      <c r="J10" s="11">
        <v>0.055576923076923</v>
      </c>
      <c r="K10" s="11">
        <v>0.1426050512848792</v>
      </c>
      <c r="L10" s="11">
        <v>0.1220352564102564</v>
      </c>
      <c r="M10" s="14">
        <f>IFERROR(E10/F10,"")</f>
        <v>1.2059387421796035</v>
      </c>
      <c r="N10" s="14">
        <f>IFERROR(G10/H10,"")</f>
        <v>1.1023639373498773</v>
      </c>
      <c r="O10" s="14">
        <f>IFERROR(I10/J10,"")</f>
        <v>1.1490011116780383</v>
      </c>
      <c r="P10" s="14">
        <f>IFERROR(K10/L10,"")</f>
        <v>1.1685561654860754</v>
      </c>
    </row>
    <row r="11" spans="1:16">
      <c r="A11" t="s">
        <v>61</v>
      </c>
      <c r="B11" t="s">
        <v>76</v>
      </c>
      <c r="C11" t="s">
        <v>117</v>
      </c>
      <c r="D11" s="10">
        <v>20342</v>
      </c>
      <c r="E11" s="11">
        <v>0.0104217874348638</v>
      </c>
      <c r="F11" s="11">
        <v>0.0102762291865639</v>
      </c>
      <c r="G11" s="11">
        <v>0.0164192311473798</v>
      </c>
      <c r="H11" s="11">
        <v>0.0153699220398463</v>
      </c>
      <c r="I11" s="11">
        <v>0.0234490217284436</v>
      </c>
      <c r="J11" s="11">
        <v>0.0226402801531069</v>
      </c>
      <c r="K11" s="11">
        <v>0.0583030183856061</v>
      </c>
      <c r="L11" s="11">
        <v>0.0521289118894787</v>
      </c>
      <c r="M11" s="14">
        <f>IFERROR(E11/F11,"")</f>
        <v>1.0141645583858951</v>
      </c>
      <c r="N11" s="14">
        <f>IFERROR(G11/H11,"")</f>
        <v>1.0682702947232383</v>
      </c>
      <c r="O11" s="14">
        <f>IFERROR(I11/J11,"")</f>
        <v>1.0357213590056085</v>
      </c>
      <c r="P11" s="14">
        <f>IFERROR(K11/L11,"")</f>
        <v>1.1184391976033852</v>
      </c>
    </row>
    <row r="12" spans="1:16">
      <c r="A12" t="s">
        <v>76</v>
      </c>
      <c r="B12" t="s">
        <v>61</v>
      </c>
      <c r="C12" t="s">
        <v>117</v>
      </c>
      <c r="D12" s="10">
        <v>8313</v>
      </c>
      <c r="E12" s="11">
        <v>0.0255022254300493</v>
      </c>
      <c r="F12" s="11">
        <v>0.0245559408392895</v>
      </c>
      <c r="G12" s="11">
        <v>0.0404186214363045</v>
      </c>
      <c r="H12" s="11">
        <v>0.0362147052579435</v>
      </c>
      <c r="I12" s="11">
        <v>0.057139420185252</v>
      </c>
      <c r="J12" s="11">
        <v>0.0542955204868728</v>
      </c>
      <c r="K12" s="11">
        <v>0.1431492842535787</v>
      </c>
      <c r="L12" s="11">
        <v>0.1227797041964475</v>
      </c>
      <c r="M12" s="14">
        <f>IFERROR(E12/F12,"")</f>
        <v>1.0385358719078586</v>
      </c>
      <c r="N12" s="14">
        <f>IFERROR(G12/H12,"")</f>
        <v>1.116083125581671</v>
      </c>
      <c r="O12" s="14">
        <f>IFERROR(I12/J12,"")</f>
        <v>1.0523781644024714</v>
      </c>
      <c r="P12" s="14">
        <f>IFERROR(K12/L12,"")</f>
        <v>1.1659034788399545</v>
      </c>
    </row>
    <row r="13" spans="1:16">
      <c r="A13" t="s">
        <v>66</v>
      </c>
      <c r="B13" t="s">
        <v>76</v>
      </c>
      <c r="C13" t="s">
        <v>117</v>
      </c>
      <c r="D13" s="10">
        <v>22167</v>
      </c>
      <c r="E13" s="11">
        <v>0.009563765958406601</v>
      </c>
      <c r="F13" s="11">
        <v>0.0098864040997856</v>
      </c>
      <c r="G13" s="11">
        <v>0.0176388324987594</v>
      </c>
      <c r="H13" s="11">
        <v>0.0154789250630118</v>
      </c>
      <c r="I13" s="11">
        <v>0.0249018811747191</v>
      </c>
      <c r="J13" s="11">
        <v>0.0225865234906826</v>
      </c>
      <c r="K13" s="11">
        <v>0.055668335814499</v>
      </c>
      <c r="L13" s="11">
        <v>0.0536421205498963</v>
      </c>
      <c r="M13" s="14">
        <f>IFERROR(E13/F13,"")</f>
        <v>0.9673654709920252</v>
      </c>
      <c r="N13" s="14">
        <f>IFERROR(G13/H13,"")</f>
        <v>1.1395385937301823</v>
      </c>
      <c r="O13" s="14">
        <f>IFERROR(I13/J13,"")</f>
        <v>1.1025105826928914</v>
      </c>
      <c r="P13" s="14">
        <f>IFERROR(K13/L13,"")</f>
        <v>1.03777284051845</v>
      </c>
    </row>
    <row r="14" spans="1:16">
      <c r="A14" t="s">
        <v>76</v>
      </c>
      <c r="B14" t="s">
        <v>66</v>
      </c>
      <c r="C14" t="s">
        <v>117</v>
      </c>
      <c r="D14" s="10">
        <v>8468</v>
      </c>
      <c r="E14" s="11">
        <v>0.0250354274917335</v>
      </c>
      <c r="F14" s="11">
        <v>0.0252392920164697</v>
      </c>
      <c r="G14" s="11">
        <v>0.0466461974492206</v>
      </c>
      <c r="H14" s="11">
        <v>0.0393561841612748</v>
      </c>
      <c r="I14" s="11">
        <v>0.06660368445914019</v>
      </c>
      <c r="J14" s="11">
        <v>0.0578756929219471</v>
      </c>
      <c r="K14" s="11">
        <v>0.1467879074161549</v>
      </c>
      <c r="L14" s="11">
        <v>0.137033670213714</v>
      </c>
      <c r="M14" s="14">
        <f>IFERROR(E14/F14,"")</f>
        <v>0.9919227320400632</v>
      </c>
      <c r="N14" s="14">
        <f>IFERROR(G14/H14,"")</f>
        <v>1.1852317099155902</v>
      </c>
      <c r="O14" s="14">
        <f>IFERROR(I14/J14,"")</f>
        <v>1.1508058235944405</v>
      </c>
      <c r="P14" s="14">
        <f>IFERROR(K14/L14,"")</f>
        <v>1.0711813176077705</v>
      </c>
    </row>
    <row r="15" spans="1:16">
      <c r="A15" t="s">
        <v>73</v>
      </c>
      <c r="B15" t="s">
        <v>76</v>
      </c>
      <c r="C15" t="s">
        <v>117</v>
      </c>
      <c r="D15" s="10">
        <v>7756</v>
      </c>
      <c r="E15" s="11">
        <v>0.0143115007735946</v>
      </c>
      <c r="F15" s="11">
        <v>0.0097150514326252</v>
      </c>
      <c r="G15" s="11">
        <v>0.01985559566787</v>
      </c>
      <c r="H15" s="11">
        <v>0.0144247822488472</v>
      </c>
      <c r="I15" s="11">
        <v>0.0367457452294997</v>
      </c>
      <c r="J15" s="11">
        <v>0.0240413037480786</v>
      </c>
      <c r="K15" s="11">
        <v>0.0772305312016503</v>
      </c>
      <c r="L15" s="11">
        <v>0.0511567414180428</v>
      </c>
      <c r="M15" s="14">
        <f>IFERROR(E15/F15,"")</f>
        <v>1.47312660904023</v>
      </c>
      <c r="N15" s="14">
        <f>IFERROR(G15/H15,"")</f>
        <v>1.3764918821881598</v>
      </c>
      <c r="O15" s="14">
        <f>IFERROR(I15/J15,"")</f>
        <v>1.5284422847673722</v>
      </c>
      <c r="P15" s="14">
        <f>IFERROR(K15/L15,"")</f>
        <v>1.5096843360396566</v>
      </c>
    </row>
    <row r="16" spans="1:16">
      <c r="A16" t="s">
        <v>76</v>
      </c>
      <c r="B16" t="s">
        <v>73</v>
      </c>
      <c r="C16" t="s">
        <v>117</v>
      </c>
      <c r="D16" s="10">
        <v>7381</v>
      </c>
      <c r="E16" s="11">
        <v>0.0150386126541119</v>
      </c>
      <c r="F16" s="11">
        <v>0.0101202939606683</v>
      </c>
      <c r="G16" s="11">
        <v>0.0196450345481642</v>
      </c>
      <c r="H16" s="11">
        <v>0.0138563862544648</v>
      </c>
      <c r="I16" s="11">
        <v>0.0356320281804633</v>
      </c>
      <c r="J16" s="11">
        <v>0.0228065853758673</v>
      </c>
      <c r="K16" s="11">
        <v>0.0730253353204172</v>
      </c>
      <c r="L16" s="11">
        <v>0.0484255039619</v>
      </c>
      <c r="M16" s="14">
        <f>IFERROR(E16/F16,"")</f>
        <v>1.4859857542239503</v>
      </c>
      <c r="N16" s="14">
        <f>IFERROR(G16/H16,"")</f>
        <v>1.417760315524846</v>
      </c>
      <c r="O16" s="14">
        <f>IFERROR(I16/J16,"")</f>
        <v>1.5623569944042228</v>
      </c>
      <c r="P16" s="14">
        <f>IFERROR(K16/L16,"")</f>
        <v>1.507993295802801</v>
      </c>
    </row>
    <row r="17" spans="1:16">
      <c r="A17" t="s">
        <v>61</v>
      </c>
      <c r="B17" t="s">
        <v>70</v>
      </c>
      <c r="C17" t="s">
        <v>117</v>
      </c>
      <c r="D17" s="10">
        <v>5644</v>
      </c>
      <c r="E17" s="11">
        <v>0.0005315379163713</v>
      </c>
      <c r="F17" s="11">
        <v>0.0011154634361462</v>
      </c>
      <c r="G17" s="11">
        <v>0.0051381998582565</v>
      </c>
      <c r="H17" s="11">
        <v>0.0025681600041505</v>
      </c>
      <c r="I17" s="11">
        <v>0.0100992204110559</v>
      </c>
      <c r="J17" s="11">
        <v>0.0073672468805935</v>
      </c>
      <c r="K17" s="11">
        <v>0.0200212615166548</v>
      </c>
      <c r="L17" s="11">
        <v>0.0171729487146229</v>
      </c>
      <c r="M17" s="14">
        <f>IFERROR(E17/F17,"")</f>
        <v>0.476517561353485</v>
      </c>
      <c r="N17" s="14">
        <f>IFERROR(G17/H17,"")</f>
        <v>2.000731983191232</v>
      </c>
      <c r="O17" s="14">
        <f>IFERROR(I17/J17,"")</f>
        <v>1.3708269282598498</v>
      </c>
      <c r="P17" s="14">
        <f>IFERROR(K17/L17,"")</f>
        <v>1.1658604383769309</v>
      </c>
    </row>
    <row r="18" spans="1:16">
      <c r="A18" t="s">
        <v>70</v>
      </c>
      <c r="B18" t="s">
        <v>61</v>
      </c>
      <c r="C18" t="s">
        <v>117</v>
      </c>
      <c r="D18" s="10">
        <v>1056</v>
      </c>
      <c r="E18" s="11">
        <v>0.002840909090909</v>
      </c>
      <c r="F18" s="11">
        <v>0.0062309810172438</v>
      </c>
      <c r="G18" s="11">
        <v>0.0255681818181818</v>
      </c>
      <c r="H18" s="11">
        <v>0.0134763077814809</v>
      </c>
      <c r="I18" s="11">
        <v>0.0501893939393939</v>
      </c>
      <c r="J18" s="11">
        <v>0.037530792638748</v>
      </c>
      <c r="K18" s="11">
        <v>0.09659090909090901</v>
      </c>
      <c r="L18" s="11">
        <v>0.0870888277061295</v>
      </c>
      <c r="M18" s="14">
        <f>IFERROR(E18/F18,"")</f>
        <v>0.4559328752642707</v>
      </c>
      <c r="N18" s="14">
        <f>IFERROR(G18/H18,"")</f>
        <v>1.8972690615835777</v>
      </c>
      <c r="O18" s="14">
        <f>IFERROR(I18/J18,"")</f>
        <v>1.3372857435357437</v>
      </c>
      <c r="P18" s="14">
        <f>IFERROR(K18/L18,"")</f>
        <v>1.1091079261836332</v>
      </c>
    </row>
    <row r="19" spans="1:16">
      <c r="A19" t="s">
        <v>73</v>
      </c>
      <c r="B19" t="s">
        <v>70</v>
      </c>
      <c r="C19" t="s">
        <v>117</v>
      </c>
      <c r="D19" s="10">
        <v>2945</v>
      </c>
      <c r="E19" s="11">
        <v>0.0013582342954159</v>
      </c>
      <c r="F19" s="11">
        <v>0.0021767092114376</v>
      </c>
      <c r="G19" s="11">
        <v>0.0040747028862478</v>
      </c>
      <c r="H19" s="11">
        <v>0.0048481250618383</v>
      </c>
      <c r="I19" s="11">
        <v>0.0152801358234295</v>
      </c>
      <c r="J19" s="11">
        <v>0.0102898980904323</v>
      </c>
      <c r="K19" s="11">
        <v>0.0230899830220713</v>
      </c>
      <c r="L19" s="11">
        <v>0.0210250321559315</v>
      </c>
      <c r="M19" s="14">
        <f>IFERROR(E19/F19,"")</f>
        <v>0.6239851828985955</v>
      </c>
      <c r="N19" s="14">
        <f>IFERROR(G19/H19,"")</f>
        <v>0.8404698381899449</v>
      </c>
      <c r="O19" s="14">
        <f>IFERROR(I19/J19,"")</f>
        <v>1.4849647381480997</v>
      </c>
      <c r="P19" s="14">
        <f>IFERROR(K19/L19,"")</f>
        <v>1.098213921901528</v>
      </c>
    </row>
    <row r="20" spans="1:16">
      <c r="A20" t="s">
        <v>70</v>
      </c>
      <c r="B20" t="s">
        <v>73</v>
      </c>
      <c r="C20" t="s">
        <v>117</v>
      </c>
      <c r="D20" s="10">
        <v>1122</v>
      </c>
      <c r="E20" s="11">
        <v>0.0035650623885918</v>
      </c>
      <c r="F20" s="11">
        <v>0.005769735116706</v>
      </c>
      <c r="G20" s="11">
        <v>0.0106951871657754</v>
      </c>
      <c r="H20" s="11">
        <v>0.0116706005769735</v>
      </c>
      <c r="I20" s="11">
        <v>0.0374331550802139</v>
      </c>
      <c r="J20" s="11">
        <v>0.0258326776816155</v>
      </c>
      <c r="K20" s="11">
        <v>0.0588235294117647</v>
      </c>
      <c r="L20" s="11">
        <v>0.050616312614739</v>
      </c>
      <c r="M20" s="14">
        <f>IFERROR(E20/F20,"")</f>
        <v>0.6178901312591152</v>
      </c>
      <c r="N20" s="14">
        <f>IFERROR(G20/H20,"")</f>
        <v>0.916421318271946</v>
      </c>
      <c r="O20" s="14">
        <f>IFERROR(I20/J20,"")</f>
        <v>1.4490621352371127</v>
      </c>
      <c r="P20" s="14">
        <f>IFERROR(K20/L20,"")</f>
        <v>1.1621456872904603</v>
      </c>
    </row>
    <row r="21" spans="1:16">
      <c r="A21" t="s">
        <v>61</v>
      </c>
      <c r="B21" t="s">
        <v>83</v>
      </c>
      <c r="C21" t="s">
        <v>118</v>
      </c>
      <c r="D21" s="10">
        <v>27099</v>
      </c>
      <c r="E21" s="11">
        <v>0.0263109339828037</v>
      </c>
      <c r="F21" s="11">
        <v>0.0222677633979955</v>
      </c>
      <c r="G21" s="11">
        <v>0.0324366212775379</v>
      </c>
      <c r="H21" s="11">
        <v>0.02836529013784</v>
      </c>
      <c r="I21" s="11">
        <v>0.041403741835492</v>
      </c>
      <c r="J21" s="11">
        <v>0.0333511131074366</v>
      </c>
      <c r="K21" s="11">
        <v>0.0996715745968486</v>
      </c>
      <c r="L21" s="11">
        <v>0.07968894753095079</v>
      </c>
      <c r="M21" s="14">
        <f>IFERROR(E21/F21,"")</f>
        <v>1.181570574131939</v>
      </c>
      <c r="N21" s="14">
        <f>IFERROR(G21/H21,"")</f>
        <v>1.1435321521448714</v>
      </c>
      <c r="O21" s="14">
        <f>IFERROR(I21/J21,"")</f>
        <v>1.241450074008471</v>
      </c>
      <c r="P21" s="14">
        <f>IFERROR(K21/L21,"")</f>
        <v>1.2507578238266552</v>
      </c>
    </row>
    <row r="22" spans="1:16">
      <c r="A22" t="s">
        <v>83</v>
      </c>
      <c r="B22" t="s">
        <v>61</v>
      </c>
      <c r="C22" t="s">
        <v>118</v>
      </c>
      <c r="D22" s="10">
        <v>19476</v>
      </c>
      <c r="E22" s="11">
        <v>0.0366091599917847</v>
      </c>
      <c r="F22" s="11">
        <v>0.0383177299208718</v>
      </c>
      <c r="G22" s="11">
        <v>0.0446703635243376</v>
      </c>
      <c r="H22" s="11">
        <v>0.0474479000608678</v>
      </c>
      <c r="I22" s="11">
        <v>0.0542719244197987</v>
      </c>
      <c r="J22" s="11">
        <v>0.0549645903983459</v>
      </c>
      <c r="K22" s="11">
        <v>0.1318032450195111</v>
      </c>
      <c r="L22" s="11">
        <v>0.135058887182014</v>
      </c>
      <c r="M22" s="14">
        <f>IFERROR(E22/F22,"")</f>
        <v>0.955410460572289</v>
      </c>
      <c r="N22" s="14">
        <f>IFERROR(G22/H22,"")</f>
        <v>0.9414613390062144</v>
      </c>
      <c r="O22" s="14">
        <f>IFERROR(I22/J22,"")</f>
        <v>0.987397959785978</v>
      </c>
      <c r="P22" s="14">
        <f>IFERROR(K22/L22,"")</f>
        <v>0.9758946469171232</v>
      </c>
    </row>
    <row r="23" spans="1:16">
      <c r="A23" t="s">
        <v>66</v>
      </c>
      <c r="B23" t="s">
        <v>83</v>
      </c>
      <c r="C23" t="s">
        <v>118</v>
      </c>
      <c r="D23" s="10">
        <v>25353</v>
      </c>
      <c r="E23" s="11">
        <v>0.025006902536189</v>
      </c>
      <c r="F23" s="11">
        <v>0.0194962538795961</v>
      </c>
      <c r="G23" s="11">
        <v>0.0334871612826884</v>
      </c>
      <c r="H23" s="11">
        <v>0.0264252565373761</v>
      </c>
      <c r="I23" s="11">
        <v>0.0384569873387764</v>
      </c>
      <c r="J23" s="11">
        <v>0.031564804656102</v>
      </c>
      <c r="K23" s="11">
        <v>0.0817654715418293</v>
      </c>
      <c r="L23" s="11">
        <v>0.0776036563543237</v>
      </c>
      <c r="M23" s="14">
        <f>IFERROR(E23/F23,"")</f>
        <v>1.2826516668599648</v>
      </c>
      <c r="N23" s="14">
        <f>IFERROR(G23/H23,"")</f>
        <v>1.267240726133496</v>
      </c>
      <c r="O23" s="14">
        <f>IFERROR(I23/J23,"")</f>
        <v>1.2183502403314272</v>
      </c>
      <c r="P23" s="14">
        <f>IFERROR(K23/L23,"")</f>
        <v>1.0536291121194543</v>
      </c>
    </row>
    <row r="24" spans="1:16">
      <c r="A24" t="s">
        <v>83</v>
      </c>
      <c r="B24" t="s">
        <v>66</v>
      </c>
      <c r="C24" t="s">
        <v>118</v>
      </c>
      <c r="D24" s="10">
        <v>19284</v>
      </c>
      <c r="E24" s="11">
        <v>0.0328769964737606</v>
      </c>
      <c r="F24" s="11">
        <v>0.0329911441165958</v>
      </c>
      <c r="G24" s="11">
        <v>0.0453225471893797</v>
      </c>
      <c r="H24" s="11">
        <v>0.0438922203248481</v>
      </c>
      <c r="I24" s="11">
        <v>0.052012030699025</v>
      </c>
      <c r="J24" s="11">
        <v>0.0521722727453238</v>
      </c>
      <c r="K24" s="11">
        <v>0.1118025305953121</v>
      </c>
      <c r="L24" s="11">
        <v>0.1304952146459632</v>
      </c>
      <c r="M24" s="14">
        <f>IFERROR(E24/F24,"")</f>
        <v>0.9965400520081452</v>
      </c>
      <c r="N24" s="14">
        <f>IFERROR(G24/H24,"")</f>
        <v>1.032587252454895</v>
      </c>
      <c r="O24" s="14">
        <f>IFERROR(I24/J24,"")</f>
        <v>0.996928597550638</v>
      </c>
      <c r="P24" s="14">
        <f>IFERROR(K24/L24,"")</f>
        <v>0.8567557890811186</v>
      </c>
    </row>
    <row r="25" spans="1:16">
      <c r="A25" t="s">
        <v>73</v>
      </c>
      <c r="B25" t="s">
        <v>83</v>
      </c>
      <c r="C25" t="s">
        <v>118</v>
      </c>
      <c r="D25" s="10">
        <v>9130</v>
      </c>
      <c r="E25" s="11">
        <v>0.0349397590361445</v>
      </c>
      <c r="F25" s="11">
        <v>0.0164687109545529</v>
      </c>
      <c r="G25" s="11">
        <v>0.0514786418400876</v>
      </c>
      <c r="H25" s="11">
        <v>0.0230321094702614</v>
      </c>
      <c r="I25" s="11">
        <v>0.0622124863088718</v>
      </c>
      <c r="J25" s="11">
        <v>0.0281202486865676</v>
      </c>
      <c r="K25" s="11">
        <v>0.1295728368017524</v>
      </c>
      <c r="L25" s="11">
        <v>0.0654834484938806</v>
      </c>
      <c r="M25" s="14">
        <f>IFERROR(E25/F25,"")</f>
        <v>2.1215843263364245</v>
      </c>
      <c r="N25" s="14">
        <f>IFERROR(G25/H25,"")</f>
        <v>2.23508150248051</v>
      </c>
      <c r="O25" s="14">
        <f>IFERROR(I25/J25,"")</f>
        <v>2.212373261783752</v>
      </c>
      <c r="P25" s="14">
        <f>IFERROR(K25/L25,"")</f>
        <v>1.978711258828417</v>
      </c>
    </row>
    <row r="26" spans="1:16">
      <c r="A26" t="s">
        <v>83</v>
      </c>
      <c r="B26" t="s">
        <v>73</v>
      </c>
      <c r="C26" t="s">
        <v>118</v>
      </c>
      <c r="D26" s="10">
        <v>14619</v>
      </c>
      <c r="E26" s="11">
        <v>0.0218209179834462</v>
      </c>
      <c r="F26" s="11">
        <v>0.0124830269628818</v>
      </c>
      <c r="G26" s="11">
        <v>0.0280456939599151</v>
      </c>
      <c r="H26" s="11">
        <v>0.0162827051883293</v>
      </c>
      <c r="I26" s="11">
        <v>0.0335180244886791</v>
      </c>
      <c r="J26" s="11">
        <v>0.0197514805052545</v>
      </c>
      <c r="K26" s="11">
        <v>0.07134550926875979</v>
      </c>
      <c r="L26" s="11">
        <v>0.048893757345474</v>
      </c>
      <c r="M26" s="14">
        <f>IFERROR(E26/F26,"")</f>
        <v>1.7480470120212446</v>
      </c>
      <c r="N26" s="14">
        <f>IFERROR(G26/H26,"")</f>
        <v>1.7224222655592198</v>
      </c>
      <c r="O26" s="14">
        <f>IFERROR(I26/J26,"")</f>
        <v>1.6969879538783068</v>
      </c>
      <c r="P26" s="14">
        <f>IFERROR(K26/L26,"")</f>
        <v>1.4591946526965796</v>
      </c>
    </row>
    <row r="27" spans="1:16">
      <c r="A27" t="s">
        <v>76</v>
      </c>
      <c r="B27" t="s">
        <v>83</v>
      </c>
      <c r="C27" t="s">
        <v>118</v>
      </c>
      <c r="D27" s="10">
        <v>7743</v>
      </c>
      <c r="E27" s="11">
        <v>0.021309569934134</v>
      </c>
      <c r="F27" s="11">
        <v>0.0145515952860017</v>
      </c>
      <c r="G27" s="11">
        <v>0.0293168022730207</v>
      </c>
      <c r="H27" s="11">
        <v>0.0212165852256395</v>
      </c>
      <c r="I27" s="11">
        <v>0.0481725429420121</v>
      </c>
      <c r="J27" s="11">
        <v>0.0316901408450704</v>
      </c>
      <c r="K27" s="11">
        <v>0.1059021051272116</v>
      </c>
      <c r="L27" s="11">
        <v>0.0709255533199195</v>
      </c>
      <c r="M27" s="14">
        <f>IFERROR(E27/F27,"")</f>
        <v>1.464414692362516</v>
      </c>
      <c r="N27" s="14">
        <f>IFERROR(G27/H27,"")</f>
        <v>1.3817870294034118</v>
      </c>
      <c r="O27" s="14">
        <f>IFERROR(I27/J27,"")</f>
        <v>1.5201113550590497</v>
      </c>
      <c r="P27" s="14">
        <f>IFERROR(K27/L27,"")</f>
        <v>1.4931445744177076</v>
      </c>
    </row>
    <row r="28" spans="1:16">
      <c r="A28" t="s">
        <v>83</v>
      </c>
      <c r="B28" t="s">
        <v>76</v>
      </c>
      <c r="C28" t="s">
        <v>118</v>
      </c>
      <c r="D28" s="10">
        <v>14269</v>
      </c>
      <c r="E28" s="11">
        <v>0.0115635293293152</v>
      </c>
      <c r="F28" s="11">
        <v>0.0115007809172227</v>
      </c>
      <c r="G28" s="11">
        <v>0.0157684490854299</v>
      </c>
      <c r="H28" s="11">
        <v>0.0169246059917648</v>
      </c>
      <c r="I28" s="11">
        <v>0.0252996005326231</v>
      </c>
      <c r="J28" s="11">
        <v>0.0246485872497515</v>
      </c>
      <c r="K28" s="11">
        <v>0.0572569906790945</v>
      </c>
      <c r="L28" s="11">
        <v>0.0554309243220218</v>
      </c>
      <c r="M28" s="14">
        <f>IFERROR(E28/F28,"")</f>
        <v>1.0054560131650327</v>
      </c>
      <c r="N28" s="14">
        <f>IFERROR(G28/H28,"")</f>
        <v>0.9316878096366036</v>
      </c>
      <c r="O28" s="14">
        <f>IFERROR(I28/J28,"")</f>
        <v>1.0264117888897752</v>
      </c>
      <c r="P28" s="14">
        <f>IFERROR(K28/L28,"")</f>
        <v>1.03294309772762</v>
      </c>
    </row>
    <row r="29" spans="1:16">
      <c r="A29" t="s">
        <v>73</v>
      </c>
      <c r="B29" t="s">
        <v>80</v>
      </c>
      <c r="C29" t="s">
        <v>119</v>
      </c>
      <c r="D29" s="10">
        <v>1456</v>
      </c>
      <c r="E29" s="11">
        <v>0.0013736263736263</v>
      </c>
      <c r="F29" s="11">
        <v>0.0014644147222493</v>
      </c>
      <c r="G29" s="11">
        <v>0.0054945054945054</v>
      </c>
      <c r="H29" s="11">
        <v>0.0061505418334472</v>
      </c>
      <c r="I29" s="11">
        <v>0.0096153846153846</v>
      </c>
      <c r="J29" s="11">
        <v>0.0116176901298447</v>
      </c>
      <c r="K29" s="11">
        <v>0.0233516483516483</v>
      </c>
      <c r="L29" s="11">
        <v>0.0222591037781899</v>
      </c>
      <c r="M29" s="14">
        <f>IFERROR(E29/F29,"")</f>
        <v>0.938003663003663</v>
      </c>
      <c r="N29" s="14">
        <f>IFERROR(G29/H29,"")</f>
        <v>0.8933368219082506</v>
      </c>
      <c r="O29" s="14">
        <f>IFERROR(I29/J29,"")</f>
        <v>0.8276502908855851</v>
      </c>
      <c r="P29" s="14">
        <f>IFERROR(K29/L29,"")</f>
        <v>1.0490830441488337</v>
      </c>
    </row>
    <row r="30" spans="1:16">
      <c r="A30" t="s">
        <v>80</v>
      </c>
      <c r="B30" t="s">
        <v>73</v>
      </c>
      <c r="C30" t="s">
        <v>119</v>
      </c>
      <c r="D30" s="10">
        <v>569</v>
      </c>
      <c r="E30" s="11">
        <v>0.0035149384885764</v>
      </c>
      <c r="F30" s="11">
        <v>0.0038071065989847</v>
      </c>
      <c r="G30" s="11">
        <v>0.0140597539543057</v>
      </c>
      <c r="H30" s="11">
        <v>0.015482233502538</v>
      </c>
      <c r="I30" s="11">
        <v>0.0263620386643233</v>
      </c>
      <c r="J30" s="11">
        <v>0.0289340101522842</v>
      </c>
      <c r="K30" s="11">
        <v>0.0597539543057996</v>
      </c>
      <c r="L30" s="11">
        <v>0.0568527918781725</v>
      </c>
      <c r="M30" s="14">
        <f>IFERROR(E30/F30,"")</f>
        <v>0.9232571763327474</v>
      </c>
      <c r="N30" s="14">
        <f>IFERROR(G30/H30,"")</f>
        <v>0.908121812786309</v>
      </c>
      <c r="O30" s="14">
        <f>IFERROR(I30/J30,"")</f>
        <v>0.9111090555915272</v>
      </c>
      <c r="P30" s="14">
        <f>IFERROR(K30/L30,"")</f>
        <v>1.051029374843083</v>
      </c>
    </row>
  </sheetData>
  <conditionalFormatting sqref="M5:P30">
    <cfRule type="colorScale" priority="1">
      <colorScale>
        <cfvo type="num" val="0.5"/>
        <cfvo type="num" val="1"/>
        <cfvo type="num" val="2.5"/>
        <color rgb="FFF0EFEC"/>
        <color rgb="FFF0EFEC"/>
        <color rgb="FF2A78D6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/>
  </sheetViews>
  <sheetFormatPr defaultRowHeight="15" x14ac:dyDescent="0.25"/>
  <cols>
    <col min="1" max="2" width="11.7109375" customWidth="1"/>
    <col min="3" max="3" width="24.7109375" customWidth="1"/>
    <col min="4" max="5" width="16.7109375" customWidth="1"/>
    <col min="6" max="7" width="15.7109375" customWidth="1"/>
    <col min="8" max="8" width="21.7109375" customWidth="1"/>
    <col min="9" max="9" width="27.7109375" customWidth="1"/>
  </cols>
  <sheetData>
    <row r="1" spans="1:9" x14ac:dyDescent="0.25">
      <c r="A1" s="1" t="s">
        <v>154</v>
      </c>
    </row>
    <row r="2" spans="1:9" x14ac:dyDescent="0.25">
      <c r="A2" s="2" t="s">
        <v>155</v>
      </c>
    </row>
    <row r="4" spans="1:9" ht="32" customHeight="1" x14ac:dyDescent="0.25">
      <c r="A4" s="9" t="s">
        <v>101</v>
      </c>
      <c r="B4" s="9" t="s">
        <v>102</v>
      </c>
      <c r="C4" s="9" t="s">
        <v>140</v>
      </c>
      <c r="D4" s="9" t="s">
        <v>156</v>
      </c>
      <c r="E4" s="9" t="s">
        <v>157</v>
      </c>
      <c r="F4" s="9" t="s">
        <v>158</v>
      </c>
      <c r="G4" s="9" t="s">
        <v>159</v>
      </c>
      <c r="H4" s="9" t="s">
        <v>160</v>
      </c>
      <c r="I4" s="9" t="s">
        <v>161</v>
      </c>
    </row>
    <row r="5" spans="1:9" x14ac:dyDescent="0.25">
      <c r="A5" t="s">
        <v>61</v>
      </c>
      <c r="B5" t="s">
        <v>66</v>
      </c>
      <c r="C5" t="s">
        <v>115</v>
      </c>
      <c r="D5" s="10">
        <v>18700</v>
      </c>
      <c r="E5" s="11">
        <v>0.2429411764705882</v>
      </c>
      <c r="F5" s="11">
        <v>0.3850267379679144</v>
      </c>
      <c r="G5" s="11">
        <v>0.3720320855614973</v>
      </c>
      <c r="H5" s="12">
        <v>7</v>
      </c>
      <c r="I5" s="11">
        <v>0.0763101604278074</v>
      </c>
    </row>
    <row r="6" spans="1:9" x14ac:dyDescent="0.25">
      <c r="A6" t="s">
        <v>61</v>
      </c>
      <c r="B6" t="s">
        <v>73</v>
      </c>
      <c r="C6" t="s">
        <v>117</v>
      </c>
      <c r="D6" s="10">
        <v>2705</v>
      </c>
      <c r="E6" s="11">
        <v>0.11090573012939</v>
      </c>
      <c r="F6" s="11">
        <v>0.4192236598890942</v>
      </c>
      <c r="G6" s="11">
        <v>0.4698706099815157</v>
      </c>
      <c r="H6" s="12">
        <v>7</v>
      </c>
      <c r="I6" s="11">
        <v>0.2879852125693161</v>
      </c>
    </row>
    <row r="7" spans="1:9" x14ac:dyDescent="0.25">
      <c r="A7" t="s">
        <v>66</v>
      </c>
      <c r="B7" t="s">
        <v>73</v>
      </c>
      <c r="C7" t="s">
        <v>117</v>
      </c>
      <c r="D7" s="10">
        <v>2376</v>
      </c>
      <c r="E7" s="11">
        <v>0.1292087542087542</v>
      </c>
      <c r="F7" s="11">
        <v>0.4284511784511784</v>
      </c>
      <c r="G7" s="11">
        <v>0.4423400673400673</v>
      </c>
      <c r="H7" s="12">
        <v>7</v>
      </c>
      <c r="I7" s="11">
        <v>0.0361952861952862</v>
      </c>
    </row>
    <row r="8" spans="1:9" x14ac:dyDescent="0.25">
      <c r="A8" t="s">
        <v>61</v>
      </c>
      <c r="B8" t="s">
        <v>76</v>
      </c>
      <c r="C8" t="s">
        <v>117</v>
      </c>
      <c r="D8" s="10">
        <v>2424</v>
      </c>
      <c r="E8" s="11">
        <v>0.08745874587458741</v>
      </c>
      <c r="F8" s="11">
        <v>0.4426567656765676</v>
      </c>
      <c r="G8" s="11">
        <v>0.4698844884488449</v>
      </c>
      <c r="H8" s="12">
        <v>7</v>
      </c>
      <c r="I8" s="11">
        <v>0</v>
      </c>
    </row>
    <row r="9" spans="1:9" x14ac:dyDescent="0.25">
      <c r="A9" t="s">
        <v>66</v>
      </c>
      <c r="B9" t="s">
        <v>76</v>
      </c>
      <c r="C9" t="s">
        <v>117</v>
      </c>
      <c r="D9" s="10">
        <v>2492</v>
      </c>
      <c r="E9" s="11">
        <v>0.08507223113964681</v>
      </c>
      <c r="F9" s="11">
        <v>0.4642857142857143</v>
      </c>
      <c r="G9" s="11">
        <v>0.4506420545746388</v>
      </c>
      <c r="H9" s="12">
        <v>7</v>
      </c>
      <c r="I9" s="11">
        <v>0.0096308186195826</v>
      </c>
    </row>
    <row r="10" spans="1:9" x14ac:dyDescent="0.25">
      <c r="A10" t="s">
        <v>73</v>
      </c>
      <c r="B10" t="s">
        <v>76</v>
      </c>
      <c r="C10" t="s">
        <v>117</v>
      </c>
      <c r="D10" s="10">
        <v>1068</v>
      </c>
      <c r="E10" s="11">
        <v>0.1039325842696629</v>
      </c>
      <c r="F10" s="11">
        <v>0.5187265917602997</v>
      </c>
      <c r="G10" s="11">
        <v>0.3773408239700374</v>
      </c>
      <c r="H10" s="12">
        <v>7</v>
      </c>
      <c r="I10" s="11">
        <v>0.0018726591760299</v>
      </c>
    </row>
    <row r="11" spans="1:9" x14ac:dyDescent="0.25">
      <c r="A11" t="s">
        <v>61</v>
      </c>
      <c r="B11" t="s">
        <v>70</v>
      </c>
      <c r="C11" t="s">
        <v>117</v>
      </c>
      <c r="D11" s="10">
        <v>214</v>
      </c>
      <c r="E11" s="11">
        <v>0.014018691588785</v>
      </c>
      <c r="F11" s="11">
        <v>0.4579439252336448</v>
      </c>
      <c r="G11" s="11">
        <v>0.5280373831775701</v>
      </c>
      <c r="H11" s="12">
        <v>6</v>
      </c>
      <c r="I11" s="11">
        <v>0.2149532710280373</v>
      </c>
    </row>
    <row r="12" spans="1:9" x14ac:dyDescent="0.25">
      <c r="A12" t="s">
        <v>73</v>
      </c>
      <c r="B12" t="s">
        <v>70</v>
      </c>
      <c r="C12" t="s">
        <v>117</v>
      </c>
      <c r="D12" s="10">
        <v>155</v>
      </c>
      <c r="E12" s="11">
        <v>0.0258064516129032</v>
      </c>
      <c r="F12" s="11">
        <v>0.4516129032258064</v>
      </c>
      <c r="G12" s="11">
        <v>0.5225806451612903</v>
      </c>
      <c r="H12" s="12">
        <v>8</v>
      </c>
      <c r="I12" s="11">
        <v>0.2064516129032258</v>
      </c>
    </row>
    <row r="13" spans="1:9" x14ac:dyDescent="0.25">
      <c r="A13" t="s">
        <v>61</v>
      </c>
      <c r="B13" t="s">
        <v>83</v>
      </c>
      <c r="C13" t="s">
        <v>118</v>
      </c>
      <c r="D13" s="10">
        <v>4682</v>
      </c>
      <c r="E13" s="11">
        <v>0.1522853481418197</v>
      </c>
      <c r="F13" s="11">
        <v>0.400683468603161</v>
      </c>
      <c r="G13" s="11">
        <v>0.4470311832550192</v>
      </c>
      <c r="H13" s="12">
        <v>7</v>
      </c>
      <c r="I13" s="11">
        <v>0.0557454079453225</v>
      </c>
    </row>
    <row r="14" spans="1:9" x14ac:dyDescent="0.25">
      <c r="A14" t="s">
        <v>66</v>
      </c>
      <c r="B14" t="s">
        <v>83</v>
      </c>
      <c r="C14" t="s">
        <v>118</v>
      </c>
      <c r="D14" s="10">
        <v>3803</v>
      </c>
      <c r="E14" s="11">
        <v>0.1667104917170654</v>
      </c>
      <c r="F14" s="11">
        <v>0.4146726268735209</v>
      </c>
      <c r="G14" s="11">
        <v>0.4186168814094136</v>
      </c>
      <c r="H14" s="12">
        <v>7</v>
      </c>
      <c r="I14" s="11">
        <v>0.0252432290297133</v>
      </c>
    </row>
    <row r="15" spans="1:9" x14ac:dyDescent="0.25">
      <c r="A15" t="s">
        <v>73</v>
      </c>
      <c r="B15" t="s">
        <v>83</v>
      </c>
      <c r="C15" t="s">
        <v>118</v>
      </c>
      <c r="D15" s="10">
        <v>1941</v>
      </c>
      <c r="E15" s="11">
        <v>0.1643482740855229</v>
      </c>
      <c r="F15" s="11">
        <v>0.3549716640906749</v>
      </c>
      <c r="G15" s="11">
        <v>0.4806800618238022</v>
      </c>
      <c r="H15" s="12">
        <v>7</v>
      </c>
      <c r="I15" s="11">
        <v>0.1210716125708397</v>
      </c>
    </row>
    <row r="16" spans="1:9" x14ac:dyDescent="0.25">
      <c r="A16" t="s">
        <v>76</v>
      </c>
      <c r="B16" t="s">
        <v>83</v>
      </c>
      <c r="C16" t="s">
        <v>118</v>
      </c>
      <c r="D16" s="10">
        <v>1339</v>
      </c>
      <c r="E16" s="11">
        <v>0.1232262882748319</v>
      </c>
      <c r="F16" s="11">
        <v>0.3412994772218073</v>
      </c>
      <c r="G16" s="11">
        <v>0.5354742345033607</v>
      </c>
      <c r="H16" s="12">
        <v>7</v>
      </c>
      <c r="I16" s="11">
        <v>0</v>
      </c>
    </row>
    <row r="17" spans="1:9" x14ac:dyDescent="0.25">
      <c r="A17" t="s">
        <v>73</v>
      </c>
      <c r="B17" t="s">
        <v>80</v>
      </c>
      <c r="C17" t="s">
        <v>119</v>
      </c>
      <c r="D17" s="10">
        <v>64</v>
      </c>
      <c r="E17" s="11">
        <v>0.03125</v>
      </c>
      <c r="F17" s="11">
        <v>0.46875</v>
      </c>
      <c r="G17" s="11">
        <v>0.5</v>
      </c>
      <c r="H17" s="12">
        <v>7</v>
      </c>
      <c r="I17" s="11">
        <v>0.140625</v>
      </c>
    </row>
  </sheetData>
  <conditionalFormatting sqref="I5:I17">
    <cfRule type="dataBar" priority="1">
      <dataBar>
        <cfvo type="min"/>
        <cfvo type="max"/>
        <color rgb="FFEB6834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EB6834"/>
              <x14:negativeFillColor rgb="FFFF0000"/>
              <x14:negativeBorderColor rgb="FFFF0000"/>
              <x14:axisColor rgb="FF000000"/>
            </x14:dataBar>
          </x14:cfRule>
          <xm:sqref>I5:I17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S905"/>
  <sheetViews>
    <sheetView showGridLines="0"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27.7109375" customWidth="1"/>
    <col min="5" max="5" width="18.7109375" customWidth="1"/>
    <col min="6" max="6" width="24.7109375" customWidth="1"/>
    <col min="7" max="7" width="26.7109375" customWidth="1"/>
    <col min="8" max="8" width="17.7109375" customWidth="1"/>
    <col min="9" max="9" width="31.7109375" customWidth="1"/>
    <col min="12" max="13" width="11.7109375" customWidth="1"/>
    <col min="14" max="14" width="15.7109375" customWidth="1"/>
    <col min="15" max="17" width="11.7109375" customWidth="1"/>
    <col min="18" max="18" width="14.7109375" customWidth="1"/>
    <col min="19" max="19" width="16.7109375" customWidth="1"/>
  </cols>
  <sheetData>
    <row r="1" spans="1:19">
      <c r="A1" s="1" t="s">
        <v>162</v>
      </c>
    </row>
    <row r="2" spans="1:19">
      <c r="A2" s="2" t="s">
        <v>163</v>
      </c>
    </row>
    <row r="4" spans="1:19" ht="45" customHeight="1">
      <c r="A4" s="9" t="s">
        <v>94</v>
      </c>
      <c r="B4" s="9" t="s">
        <v>171</v>
      </c>
      <c r="C4" s="9" t="s">
        <v>172</v>
      </c>
      <c r="D4" s="9" t="s">
        <v>173</v>
      </c>
      <c r="E4" s="9" t="s">
        <v>174</v>
      </c>
      <c r="L4" s="9" t="s">
        <v>51</v>
      </c>
      <c r="M4" s="9" t="s">
        <v>164</v>
      </c>
      <c r="N4" s="9" t="s">
        <v>165</v>
      </c>
      <c r="O4" s="9" t="s">
        <v>166</v>
      </c>
      <c r="P4" s="9" t="s">
        <v>167</v>
      </c>
      <c r="Q4" s="9" t="s">
        <v>168</v>
      </c>
      <c r="R4" s="9" t="s">
        <v>169</v>
      </c>
      <c r="S4" s="9" t="s">
        <v>170</v>
      </c>
    </row>
    <row r="5" spans="1:19">
      <c r="A5" s="3" t="s">
        <v>61</v>
      </c>
      <c r="B5" s="12">
        <f>1000*SUMIFS(P5:P905,L5:L905,A5,N5:N905,TRUE)/SUMIFS(O5:O905,L5:L905,A5,N5:N905,TRUE)</f>
        <v>33.97346053914939</v>
      </c>
      <c r="C5" s="12">
        <f>1000*SUMIFS(P5:P905,L5:L905,A5,N5:N905,FALSE)/SUMIFS(O5:O905,L5:L905,A5,N5:N905,FALSE)</f>
        <v>35.081241033902195</v>
      </c>
      <c r="D5" s="14">
        <f>B5/C5</f>
        <v>0.9684224257151492</v>
      </c>
      <c r="E5" s="14">
        <v>0.9395133275552486</v>
      </c>
      <c r="L5" t="s">
        <v>80</v>
      </c>
      <c r="M5" s="15">
        <v>45488</v>
      </c>
      <c r="N5" t="b">
        <v>0</v>
      </c>
      <c r="O5" s="10">
        <v>4810</v>
      </c>
      <c r="P5" s="10">
        <v>181</v>
      </c>
      <c r="Q5" s="10">
        <v>63</v>
      </c>
      <c r="R5" s="12">
        <v>37.62993762993763</v>
      </c>
      <c r="S5" s="12">
        <v>13.0977130977131</v>
      </c>
    </row>
    <row r="6" spans="1:19">
      <c r="A6" s="3" t="s">
        <v>66</v>
      </c>
      <c r="B6" s="12">
        <f>1000*SUMIFS(P5:P905,L5:L905,A6,N5:N905,TRUE)/SUMIFS(O5:O905,L5:L905,A6,N5:N905,TRUE)</f>
        <v>28.232001900789356</v>
      </c>
      <c r="C6" s="12">
        <f>1000*SUMIFS(P5:P905,L5:L905,A6,N5:N905,FALSE)/SUMIFS(O5:O905,L5:L905,A6,N5:N905,FALSE)</f>
        <v>33.433526698662114</v>
      </c>
      <c r="D6" s="14">
        <f>B6/C6</f>
        <v>0.8444218928875097</v>
      </c>
      <c r="E6" s="14">
        <v>0.2495594104514893</v>
      </c>
      <c r="L6" t="s">
        <v>80</v>
      </c>
      <c r="M6" s="15">
        <v>45495</v>
      </c>
      <c r="N6" t="b">
        <v>0</v>
      </c>
      <c r="O6" s="10">
        <v>4836</v>
      </c>
      <c r="P6" s="10">
        <v>111</v>
      </c>
      <c r="Q6" s="10">
        <v>41</v>
      </c>
      <c r="R6" s="12">
        <v>22.95285359801489</v>
      </c>
      <c r="S6" s="12">
        <v>8.47808105872622</v>
      </c>
    </row>
    <row r="7" spans="1:19">
      <c r="A7" s="3" t="s">
        <v>73</v>
      </c>
      <c r="B7" s="12">
        <f>1000*SUMIFS(P5:P905,L5:L905,A7,N5:N905,TRUE)/SUMIFS(O5:O905,L5:L905,A7,N5:N905,TRUE)</f>
        <v>15.898950543580721</v>
      </c>
      <c r="C7" s="12">
        <f>1000*SUMIFS(P5:P905,L5:L905,A7,N5:N905,FALSE)/SUMIFS(O5:O905,L5:L905,A7,N5:N905,FALSE)</f>
        <v>14.567545119148033</v>
      </c>
      <c r="D7" s="14">
        <f>B7/C7</f>
        <v>1.0913953183973768</v>
      </c>
      <c r="E7" s="14">
        <v>0.3017681624441469</v>
      </c>
      <c r="L7" t="s">
        <v>80</v>
      </c>
      <c r="M7" s="15">
        <v>45502</v>
      </c>
      <c r="N7" t="b">
        <v>0</v>
      </c>
      <c r="O7" s="10">
        <v>4857</v>
      </c>
      <c r="P7" s="10">
        <v>123</v>
      </c>
      <c r="Q7" s="10">
        <v>112</v>
      </c>
      <c r="R7" s="12">
        <v>25.3242742433601</v>
      </c>
      <c r="S7" s="12">
        <v>23.05950175005147</v>
      </c>
    </row>
    <row r="8" spans="1:19">
      <c r="A8" s="3" t="s">
        <v>76</v>
      </c>
      <c r="B8" s="12">
        <f>1000*SUMIFS(P5:P905,L5:L905,A8,N5:N905,TRUE)/SUMIFS(O5:O905,L5:L905,A8,N5:N905,TRUE)</f>
        <v>16.503398151156528</v>
      </c>
      <c r="C8" s="12">
        <f>1000*SUMIFS(P5:P905,L5:L905,A8,N5:N905,FALSE)/SUMIFS(O5:O905,L5:L905,A8,N5:N905,FALSE)</f>
        <v>18.328869125338546</v>
      </c>
      <c r="D8" s="14">
        <f>B8/C8</f>
        <v>0.9004046042503291</v>
      </c>
      <c r="E8" s="14">
        <v>0.1728179263647459</v>
      </c>
      <c r="L8" t="s">
        <v>80</v>
      </c>
      <c r="M8" s="15">
        <v>45509</v>
      </c>
      <c r="N8" t="b">
        <v>0</v>
      </c>
      <c r="O8" s="10">
        <v>4848</v>
      </c>
      <c r="P8" s="10">
        <v>131</v>
      </c>
      <c r="Q8" s="10">
        <v>47</v>
      </c>
      <c r="R8" s="12">
        <v>27.02145214521452</v>
      </c>
      <c r="S8" s="12">
        <v>9.694719471947195</v>
      </c>
    </row>
    <row r="9" spans="1:19">
      <c r="A9" s="3" t="s">
        <v>70</v>
      </c>
      <c r="B9" s="12">
        <f>1000*SUMIFS(P5:P905,L5:L905,A9,N5:N905,TRUE)/SUMIFS(O5:O905,L5:L905,A9,N5:N905,TRUE)</f>
        <v>12.692002978248716</v>
      </c>
      <c r="C9" s="12">
        <f>1000*SUMIFS(P5:P905,L5:L905,A9,N5:N905,FALSE)/SUMIFS(O5:O905,L5:L905,A9,N5:N905,FALSE)</f>
        <v>7.987621181772083</v>
      </c>
      <c r="D9" s="14">
        <f>B9/C9</f>
        <v>1.588959051690149</v>
      </c>
      <c r="E9" s="14">
        <v>0.4076145698271357</v>
      </c>
      <c r="L9" t="s">
        <v>80</v>
      </c>
      <c r="M9" s="15">
        <v>45516</v>
      </c>
      <c r="N9" t="b">
        <v>0</v>
      </c>
      <c r="O9" s="10">
        <v>5342</v>
      </c>
      <c r="P9" s="10">
        <v>129</v>
      </c>
      <c r="Q9" s="10">
        <v>72</v>
      </c>
      <c r="R9" s="12">
        <v>24.14825907899663</v>
      </c>
      <c r="S9" s="12">
        <v>13.47809809060277</v>
      </c>
    </row>
    <row r="10" spans="1:19">
      <c r="A10" s="3" t="s">
        <v>68</v>
      </c>
      <c r="B10" s="12">
        <f>1000*SUMIFS(P5:P905,L5:L905,A10,N5:N905,TRUE)/SUMIFS(O5:O905,L5:L905,A10,N5:N905,TRUE)</f>
        <v>9.365839333378782</v>
      </c>
      <c r="C10" s="12">
        <f>1000*SUMIFS(P5:P905,L5:L905,A10,N5:N905,FALSE)/SUMIFS(O5:O905,L5:L905,A10,N5:N905,FALSE)</f>
        <v>13.589209944662246</v>
      </c>
      <c r="D10" s="14">
        <f>B10/C10</f>
        <v>0.6892114678865214</v>
      </c>
      <c r="E10" s="14">
        <v>0.0880666506807225</v>
      </c>
      <c r="L10" t="s">
        <v>80</v>
      </c>
      <c r="M10" s="15">
        <v>45523</v>
      </c>
      <c r="N10" t="b">
        <v>0</v>
      </c>
      <c r="O10" s="10">
        <v>4829</v>
      </c>
      <c r="P10" s="10">
        <v>95</v>
      </c>
      <c r="Q10" s="10">
        <v>50</v>
      </c>
      <c r="R10" s="12">
        <v>19.67281010561193</v>
      </c>
      <c r="S10" s="12">
        <v>10.35411058190102</v>
      </c>
    </row>
    <row r="11" spans="1:19">
      <c r="A11" s="3" t="s">
        <v>80</v>
      </c>
      <c r="B11" s="12">
        <f>1000*SUMIFS(P5:P905,L5:L905,A11,N5:N905,TRUE)/SUMIFS(O5:O905,L5:L905,A11,N5:N905,TRUE)</f>
        <v>15.756425804937209</v>
      </c>
      <c r="C11" s="12">
        <f>1000*SUMIFS(P5:P905,L5:L905,A11,N5:N905,FALSE)/SUMIFS(O5:O905,L5:L905,A11,N5:N905,FALSE)</f>
        <v>15.240628110943984</v>
      </c>
      <c r="D11" s="14">
        <f>B11/C11</f>
        <v>1.0338435981928358</v>
      </c>
      <c r="E11" s="14">
        <v>0.8924006736957354</v>
      </c>
      <c r="L11" t="s">
        <v>80</v>
      </c>
      <c r="M11" s="15">
        <v>45530</v>
      </c>
      <c r="N11" t="b">
        <v>0</v>
      </c>
      <c r="O11" s="10">
        <v>4866</v>
      </c>
      <c r="P11" s="10">
        <v>122</v>
      </c>
      <c r="Q11" s="10">
        <v>49</v>
      </c>
      <c r="R11" s="12">
        <v>25.07192766132347</v>
      </c>
      <c r="S11" s="12">
        <v>10.06987258528566</v>
      </c>
    </row>
    <row r="12" spans="1:19">
      <c r="A12" s="3" t="s">
        <v>83</v>
      </c>
      <c r="B12" s="12">
        <f>1000*SUMIFS(P5:P905,L5:L905,A12,N5:N905,TRUE)/SUMIFS(O5:O905,L5:L905,A12,N5:N905,TRUE)</f>
        <v>18.351976920056146</v>
      </c>
      <c r="C12" s="12">
        <f>1000*SUMIFS(P5:P905,L5:L905,A12,N5:N905,FALSE)/SUMIFS(O5:O905,L5:L905,A12,N5:N905,FALSE)</f>
        <v>41.79147504976319</v>
      </c>
      <c r="D12" s="14">
        <f>B12/C12</f>
        <v>0.4391320693563348</v>
      </c>
      <c r="E12" s="14">
        <v>0.1218617217482761</v>
      </c>
      <c r="L12" t="s">
        <v>80</v>
      </c>
      <c r="M12" s="15">
        <v>45537</v>
      </c>
      <c r="N12" t="b">
        <v>0</v>
      </c>
      <c r="O12" s="10">
        <v>4863</v>
      </c>
      <c r="P12" s="10">
        <v>142</v>
      </c>
      <c r="Q12" s="10">
        <v>88</v>
      </c>
      <c r="R12" s="12">
        <v>29.20008225375283</v>
      </c>
      <c r="S12" s="12">
        <v>18.09582562204401</v>
      </c>
    </row>
    <row r="13" spans="1:19">
      <c r="L13" t="s">
        <v>80</v>
      </c>
      <c r="M13" s="15">
        <v>45544</v>
      </c>
      <c r="N13" t="b">
        <v>0</v>
      </c>
      <c r="O13" s="10">
        <v>4860</v>
      </c>
      <c r="P13" s="10">
        <v>109</v>
      </c>
      <c r="Q13" s="10">
        <v>42</v>
      </c>
      <c r="R13" s="12">
        <v>22.42798353909465</v>
      </c>
      <c r="S13" s="12">
        <v>8.641975308641975</v>
      </c>
    </row>
    <row r="14" spans="1:19">
      <c r="A14" s="3" t="s">
        <v>175</v>
      </c>
      <c r="L14" t="s">
        <v>80</v>
      </c>
      <c r="M14" s="15">
        <v>45551</v>
      </c>
      <c r="N14" t="b">
        <v>0</v>
      </c>
      <c r="O14" s="10">
        <v>4909</v>
      </c>
      <c r="P14" s="10">
        <v>145</v>
      </c>
      <c r="Q14" s="10">
        <v>57</v>
      </c>
      <c r="R14" s="12">
        <v>29.53758402933388</v>
      </c>
      <c r="S14" s="12">
        <v>11.61132613566918</v>
      </c>
    </row>
    <row r="15" spans="1:19" ht="32" customHeight="1">
      <c r="A15" s="9" t="s">
        <v>51</v>
      </c>
      <c r="B15" s="9" t="s">
        <v>176</v>
      </c>
      <c r="C15" s="9" t="s">
        <v>177</v>
      </c>
      <c r="D15" s="9" t="s">
        <v>178</v>
      </c>
      <c r="E15" s="9" t="s">
        <v>179</v>
      </c>
      <c r="F15" s="9" t="s">
        <v>180</v>
      </c>
      <c r="G15" s="9" t="s">
        <v>181</v>
      </c>
      <c r="H15" s="9" t="s">
        <v>182</v>
      </c>
      <c r="I15" s="9" t="s">
        <v>183</v>
      </c>
      <c r="L15" t="s">
        <v>80</v>
      </c>
      <c r="M15" s="15">
        <v>45558</v>
      </c>
      <c r="N15" t="b">
        <v>0</v>
      </c>
      <c r="O15" s="10">
        <v>5076</v>
      </c>
      <c r="P15" s="10">
        <v>67</v>
      </c>
      <c r="Q15" s="10">
        <v>53</v>
      </c>
      <c r="R15" s="12">
        <v>13.1993695823483</v>
      </c>
      <c r="S15" s="12">
        <v>10.44129235618597</v>
      </c>
    </row>
    <row r="16" spans="1:19">
      <c r="A16" t="s">
        <v>80</v>
      </c>
      <c r="B16" t="s">
        <v>184</v>
      </c>
      <c r="C16" s="12">
        <v>15.24062811094398</v>
      </c>
      <c r="D16" s="12">
        <v>8.676127569594314</v>
      </c>
      <c r="E16">
        <v>88</v>
      </c>
      <c r="F16" s="12">
        <v>15.75642580493721</v>
      </c>
      <c r="G16" s="12">
        <v>11.76597159735535</v>
      </c>
      <c r="H16">
        <v>27</v>
      </c>
      <c r="I16" s="14">
        <v>1.033843598192836</v>
      </c>
      <c r="L16" t="s">
        <v>80</v>
      </c>
      <c r="M16" s="15">
        <v>45565</v>
      </c>
      <c r="N16" t="b">
        <v>0</v>
      </c>
      <c r="O16" s="10">
        <v>4938</v>
      </c>
      <c r="P16" s="10">
        <v>213</v>
      </c>
      <c r="Q16" s="10">
        <v>107</v>
      </c>
      <c r="R16" s="12">
        <v>43.13487241798299</v>
      </c>
      <c r="S16" s="12">
        <v>21.6686917780478</v>
      </c>
    </row>
    <row r="17" spans="1:19">
      <c r="A17" t="s">
        <v>61</v>
      </c>
      <c r="B17" t="s">
        <v>184</v>
      </c>
      <c r="C17" s="12">
        <v>36.04676557002944</v>
      </c>
      <c r="D17" s="12">
        <v>25.10780254340616</v>
      </c>
      <c r="E17">
        <v>88</v>
      </c>
      <c r="F17" s="12">
        <v>33.75393045992701</v>
      </c>
      <c r="G17" s="12">
        <v>23.18339450190583</v>
      </c>
      <c r="H17">
        <v>27</v>
      </c>
      <c r="I17" s="14">
        <v>0.936392764403562</v>
      </c>
      <c r="L17" t="s">
        <v>80</v>
      </c>
      <c r="M17" s="15">
        <v>45572</v>
      </c>
      <c r="N17" t="b">
        <v>0</v>
      </c>
      <c r="O17" s="10">
        <v>4923</v>
      </c>
      <c r="P17" s="10">
        <v>112</v>
      </c>
      <c r="Q17" s="10">
        <v>53</v>
      </c>
      <c r="R17" s="12">
        <v>22.75035547430429</v>
      </c>
      <c r="S17" s="12">
        <v>10.76579321551899</v>
      </c>
    </row>
    <row r="18" spans="1:19">
      <c r="A18" t="s">
        <v>61</v>
      </c>
      <c r="B18" t="s">
        <v>185</v>
      </c>
      <c r="C18" s="12">
        <v>30.85286806217039</v>
      </c>
      <c r="D18" s="12">
        <v>20.41756692919484</v>
      </c>
      <c r="E18">
        <v>88</v>
      </c>
      <c r="F18" s="12">
        <v>34.91341991341992</v>
      </c>
      <c r="G18" s="12">
        <v>14.8051948051948</v>
      </c>
      <c r="H18">
        <v>27</v>
      </c>
      <c r="I18" s="14">
        <v>1.131610190763052</v>
      </c>
      <c r="L18" t="s">
        <v>80</v>
      </c>
      <c r="M18" s="15">
        <v>45579</v>
      </c>
      <c r="N18" t="b">
        <v>0</v>
      </c>
      <c r="O18" s="10">
        <v>4943</v>
      </c>
      <c r="P18" s="10">
        <v>81</v>
      </c>
      <c r="Q18" s="10">
        <v>47</v>
      </c>
      <c r="R18" s="12">
        <v>16.38680962977948</v>
      </c>
      <c r="S18" s="12">
        <v>9.508395711106616</v>
      </c>
    </row>
    <row r="19" spans="1:19">
      <c r="A19" t="s">
        <v>73</v>
      </c>
      <c r="B19" t="s">
        <v>184</v>
      </c>
      <c r="C19" s="12">
        <v>14.96317615750874</v>
      </c>
      <c r="D19" s="12">
        <v>8.55478774138969</v>
      </c>
      <c r="E19">
        <v>88</v>
      </c>
      <c r="F19" s="12">
        <v>16.63944467129441</v>
      </c>
      <c r="G19" s="12">
        <v>5.592344701475314</v>
      </c>
      <c r="H19">
        <v>27</v>
      </c>
      <c r="I19" s="14">
        <v>1.112026250051497</v>
      </c>
      <c r="L19" t="s">
        <v>80</v>
      </c>
      <c r="M19" s="15">
        <v>45586</v>
      </c>
      <c r="N19" t="b">
        <v>0</v>
      </c>
      <c r="O19" s="10">
        <v>4956</v>
      </c>
      <c r="P19" s="10">
        <v>110</v>
      </c>
      <c r="Q19" s="10">
        <v>65</v>
      </c>
      <c r="R19" s="12">
        <v>22.1953188054883</v>
      </c>
      <c r="S19" s="12">
        <v>13.11541565778854</v>
      </c>
    </row>
    <row r="20" spans="1:19">
      <c r="A20" t="s">
        <v>73</v>
      </c>
      <c r="B20" t="s">
        <v>185</v>
      </c>
      <c r="C20" s="12">
        <v>12.55175390975034</v>
      </c>
      <c r="D20" s="12">
        <v>8.77118394631329</v>
      </c>
      <c r="E20">
        <v>88</v>
      </c>
      <c r="F20" s="12">
        <v>12.20887797757282</v>
      </c>
      <c r="G20" s="12">
        <v>10.57218056753589</v>
      </c>
      <c r="H20">
        <v>27</v>
      </c>
      <c r="I20" s="14">
        <v>0.9726830262413632</v>
      </c>
      <c r="L20" t="s">
        <v>80</v>
      </c>
      <c r="M20" s="15">
        <v>45593</v>
      </c>
      <c r="N20" t="b">
        <v>0</v>
      </c>
      <c r="O20" s="10">
        <v>4962</v>
      </c>
      <c r="P20" s="10">
        <v>107</v>
      </c>
      <c r="Q20" s="10">
        <v>33</v>
      </c>
      <c r="R20" s="12">
        <v>21.56388553002822</v>
      </c>
      <c r="S20" s="12">
        <v>6.650544135429263</v>
      </c>
    </row>
    <row r="21" spans="1:19">
      <c r="A21" t="s">
        <v>66</v>
      </c>
      <c r="B21" t="s">
        <v>184</v>
      </c>
      <c r="C21" s="12">
        <v>35.35299974028223</v>
      </c>
      <c r="D21" s="12">
        <v>29.05051510691715</v>
      </c>
      <c r="E21">
        <v>88</v>
      </c>
      <c r="F21" s="12">
        <v>28.06504635065103</v>
      </c>
      <c r="G21" s="12">
        <v>23.17036468685613</v>
      </c>
      <c r="H21">
        <v>27</v>
      </c>
      <c r="I21" s="14">
        <v>0.793851909507778</v>
      </c>
      <c r="L21" t="s">
        <v>80</v>
      </c>
      <c r="M21" s="15">
        <v>45600</v>
      </c>
      <c r="N21" t="b">
        <v>1</v>
      </c>
      <c r="O21" s="10">
        <v>4964</v>
      </c>
      <c r="P21" s="10">
        <v>133</v>
      </c>
      <c r="Q21" s="10">
        <v>171</v>
      </c>
      <c r="R21" s="12">
        <v>26.79290894439968</v>
      </c>
      <c r="S21" s="12">
        <v>34.44802578565672</v>
      </c>
    </row>
    <row r="22" spans="1:19">
      <c r="A22" t="s">
        <v>66</v>
      </c>
      <c r="B22" t="s">
        <v>185</v>
      </c>
      <c r="C22" s="12">
        <v>25.37254420767039</v>
      </c>
      <c r="D22" s="12">
        <v>15.74706531964498</v>
      </c>
      <c r="E22">
        <v>88</v>
      </c>
      <c r="F22" s="12">
        <v>28.89258188194345</v>
      </c>
      <c r="G22" s="12">
        <v>14.26309522251737</v>
      </c>
      <c r="H22">
        <v>27</v>
      </c>
      <c r="I22" s="14">
        <v>1.138734123210589</v>
      </c>
      <c r="L22" t="s">
        <v>80</v>
      </c>
      <c r="M22" s="15">
        <v>45607</v>
      </c>
      <c r="N22" t="b">
        <v>1</v>
      </c>
      <c r="O22" s="10">
        <v>4971</v>
      </c>
      <c r="P22" s="10">
        <v>108</v>
      </c>
      <c r="Q22" s="10">
        <v>56</v>
      </c>
      <c r="R22" s="12">
        <v>21.72601086300543</v>
      </c>
      <c r="S22" s="12">
        <v>11.26533896600282</v>
      </c>
    </row>
    <row r="23" spans="1:19">
      <c r="A23" t="s">
        <v>83</v>
      </c>
      <c r="B23" t="s">
        <v>184</v>
      </c>
      <c r="C23" s="12">
        <v>42.06480262813374</v>
      </c>
      <c r="D23" s="12">
        <v>23.58093695341765</v>
      </c>
      <c r="E23">
        <v>78</v>
      </c>
      <c r="F23" s="12">
        <v>20.23607106774106</v>
      </c>
      <c r="G23" s="12">
        <v>2.143860427293561</v>
      </c>
      <c r="H23">
        <v>27</v>
      </c>
      <c r="I23" s="14">
        <v>0.4810689651068704</v>
      </c>
      <c r="L23" t="s">
        <v>80</v>
      </c>
      <c r="M23" s="15">
        <v>45614</v>
      </c>
      <c r="N23" t="b">
        <v>1</v>
      </c>
      <c r="O23" s="10">
        <v>4977</v>
      </c>
      <c r="P23" s="10">
        <v>81</v>
      </c>
      <c r="Q23" s="10">
        <v>62</v>
      </c>
      <c r="R23" s="12">
        <v>16.2748643761302</v>
      </c>
      <c r="S23" s="12">
        <v>12.4573035965441</v>
      </c>
    </row>
    <row r="24" spans="1:19">
      <c r="A24" t="s">
        <v>83</v>
      </c>
      <c r="B24" t="s">
        <v>185</v>
      </c>
      <c r="C24" s="12">
        <v>40.78497415987453</v>
      </c>
      <c r="D24" s="12">
        <v>23.49394492582213</v>
      </c>
      <c r="E24">
        <v>78</v>
      </c>
      <c r="F24" s="12">
        <v>11.31005010315355</v>
      </c>
      <c r="G24" s="12">
        <v>3.536693191865606</v>
      </c>
      <c r="H24">
        <v>27</v>
      </c>
      <c r="I24" s="14">
        <v>0.2773092379271559</v>
      </c>
      <c r="L24" t="s">
        <v>80</v>
      </c>
      <c r="M24" s="15">
        <v>45621</v>
      </c>
      <c r="N24" t="b">
        <v>1</v>
      </c>
      <c r="O24" s="10">
        <v>4984</v>
      </c>
      <c r="P24" s="10">
        <v>107</v>
      </c>
      <c r="Q24" s="10">
        <v>151</v>
      </c>
      <c r="R24" s="12">
        <v>21.46869983948636</v>
      </c>
      <c r="S24" s="12">
        <v>30.29695024077046</v>
      </c>
    </row>
    <row r="25" spans="1:19">
      <c r="A25" t="s">
        <v>68</v>
      </c>
      <c r="B25" t="s">
        <v>184</v>
      </c>
      <c r="C25" s="12">
        <v>14.2057988551217</v>
      </c>
      <c r="D25" s="12">
        <v>12.5433983338763</v>
      </c>
      <c r="E25">
        <v>88</v>
      </c>
      <c r="F25" s="12">
        <v>9.277759333594906</v>
      </c>
      <c r="G25" s="12">
        <v>24.30809163070051</v>
      </c>
      <c r="H25">
        <v>27</v>
      </c>
      <c r="I25" s="14">
        <v>0.6530966282300935</v>
      </c>
      <c r="L25" t="s">
        <v>80</v>
      </c>
      <c r="M25" s="15">
        <v>45628</v>
      </c>
      <c r="N25" t="b">
        <v>1</v>
      </c>
      <c r="O25" s="10">
        <v>4959</v>
      </c>
      <c r="P25" s="10">
        <v>90</v>
      </c>
      <c r="Q25" s="10">
        <v>79</v>
      </c>
      <c r="R25" s="12">
        <v>18.14882032667877</v>
      </c>
      <c r="S25" s="12">
        <v>15.93063117564025</v>
      </c>
    </row>
    <row r="26" spans="1:19">
      <c r="A26" t="s">
        <v>68</v>
      </c>
      <c r="B26" t="s">
        <v>185</v>
      </c>
      <c r="C26" s="12">
        <v>9.581997459318856</v>
      </c>
      <c r="D26" s="12">
        <v>7.694634323392414</v>
      </c>
      <c r="E26">
        <v>88</v>
      </c>
      <c r="F26" s="12">
        <v>9.948857279846573</v>
      </c>
      <c r="G26" s="12">
        <v>13.38500879015503</v>
      </c>
      <c r="H26">
        <v>27</v>
      </c>
      <c r="I26" s="14">
        <v>1.038286361699139</v>
      </c>
      <c r="L26" t="s">
        <v>80</v>
      </c>
      <c r="M26" s="15">
        <v>45635</v>
      </c>
      <c r="N26" t="b">
        <v>1</v>
      </c>
      <c r="O26" s="10">
        <v>4980</v>
      </c>
      <c r="P26" s="10">
        <v>76</v>
      </c>
      <c r="Q26" s="10">
        <v>129</v>
      </c>
      <c r="R26" s="12">
        <v>15.26104417670683</v>
      </c>
      <c r="S26" s="12">
        <v>25.90361445783132</v>
      </c>
    </row>
    <row r="27" spans="1:19">
      <c r="A27" t="s">
        <v>70</v>
      </c>
      <c r="B27" t="s">
        <v>184</v>
      </c>
      <c r="C27" s="12">
        <v>8.354947668596893</v>
      </c>
      <c r="D27" s="12">
        <v>2.315458938179277</v>
      </c>
      <c r="E27">
        <v>88</v>
      </c>
      <c r="F27" s="12">
        <v>13.48962336664104</v>
      </c>
      <c r="G27" s="12">
        <v>2.260498916917057</v>
      </c>
      <c r="H27">
        <v>27</v>
      </c>
      <c r="I27" s="14">
        <v>1.614567068725453</v>
      </c>
      <c r="L27" t="s">
        <v>80</v>
      </c>
      <c r="M27" s="15">
        <v>45642</v>
      </c>
      <c r="N27" t="b">
        <v>1</v>
      </c>
      <c r="O27" s="10">
        <v>4981</v>
      </c>
      <c r="P27" s="10">
        <v>44</v>
      </c>
      <c r="Q27" s="10">
        <v>69</v>
      </c>
      <c r="R27" s="12">
        <v>8.833567556715519</v>
      </c>
      <c r="S27" s="12">
        <v>13.85264003212206</v>
      </c>
    </row>
    <row r="28" spans="1:19">
      <c r="A28" t="s">
        <v>70</v>
      </c>
      <c r="B28" t="s">
        <v>185</v>
      </c>
      <c r="C28" s="12">
        <v>6.853160451775392</v>
      </c>
      <c r="D28" s="12">
        <v>2.295887162791573</v>
      </c>
      <c r="E28">
        <v>88</v>
      </c>
      <c r="F28" s="12">
        <v>10.18830264413323</v>
      </c>
      <c r="G28" s="12">
        <v>1.337968700305978</v>
      </c>
      <c r="H28">
        <v>27</v>
      </c>
      <c r="I28" s="14">
        <v>1.486657537909218</v>
      </c>
      <c r="L28" t="s">
        <v>80</v>
      </c>
      <c r="M28" s="15">
        <v>45649</v>
      </c>
      <c r="N28" t="b">
        <v>1</v>
      </c>
      <c r="O28" s="10">
        <v>4932</v>
      </c>
      <c r="P28" s="10">
        <v>93</v>
      </c>
      <c r="Q28" s="10">
        <v>51</v>
      </c>
      <c r="R28" s="12">
        <v>18.85644768856448</v>
      </c>
      <c r="S28" s="12">
        <v>10.34063260340632</v>
      </c>
    </row>
    <row r="29" spans="1:19">
      <c r="A29" t="s">
        <v>76</v>
      </c>
      <c r="B29" t="s">
        <v>184</v>
      </c>
      <c r="C29" s="12">
        <v>18.93350766449824</v>
      </c>
      <c r="D29" s="12">
        <v>14.24121288764571</v>
      </c>
      <c r="E29">
        <v>79</v>
      </c>
      <c r="F29" s="12">
        <v>16.66344978446889</v>
      </c>
      <c r="G29" s="12">
        <v>12.02577794934483</v>
      </c>
      <c r="H29">
        <v>27</v>
      </c>
      <c r="I29" s="14">
        <v>0.8801036807201931</v>
      </c>
      <c r="L29" t="s">
        <v>80</v>
      </c>
      <c r="M29" s="15">
        <v>45656</v>
      </c>
      <c r="N29" t="b">
        <v>1</v>
      </c>
      <c r="O29" s="10">
        <v>4928</v>
      </c>
      <c r="P29" s="10">
        <v>189</v>
      </c>
      <c r="Q29" s="10">
        <v>275</v>
      </c>
      <c r="R29" s="12">
        <v>38.35227272727273</v>
      </c>
      <c r="S29" s="12">
        <v>55.80357142857143</v>
      </c>
    </row>
    <row r="30" spans="1:19">
      <c r="A30" t="s">
        <v>76</v>
      </c>
      <c r="B30" t="s">
        <v>185</v>
      </c>
      <c r="C30" s="12">
        <v>15.25963133891251</v>
      </c>
      <c r="D30" s="12">
        <v>8.758647577771532</v>
      </c>
      <c r="E30">
        <v>79</v>
      </c>
      <c r="F30" s="12">
        <v>15.72121053321106</v>
      </c>
      <c r="G30" s="12">
        <v>6.995938687278921</v>
      </c>
      <c r="H30">
        <v>27</v>
      </c>
      <c r="I30" s="14">
        <v>1.030248384384065</v>
      </c>
      <c r="L30" t="s">
        <v>80</v>
      </c>
      <c r="M30" s="15">
        <v>45663</v>
      </c>
      <c r="N30" t="b">
        <v>1</v>
      </c>
      <c r="O30" s="10">
        <v>4884</v>
      </c>
      <c r="P30" s="10">
        <v>144</v>
      </c>
      <c r="Q30" s="10">
        <v>50</v>
      </c>
      <c r="R30" s="12">
        <v>29.48402948402948</v>
      </c>
      <c r="S30" s="12">
        <v>10.23751023751024</v>
      </c>
    </row>
    <row r="31" spans="1:19">
      <c r="L31" t="s">
        <v>80</v>
      </c>
      <c r="M31" s="15">
        <v>45670</v>
      </c>
      <c r="N31" t="b">
        <v>1</v>
      </c>
      <c r="O31" s="10">
        <v>8556</v>
      </c>
      <c r="P31" s="10">
        <v>126</v>
      </c>
      <c r="Q31" s="10">
        <v>175</v>
      </c>
      <c r="R31" s="12">
        <v>14.72650771388499</v>
      </c>
      <c r="S31" s="12">
        <v>20.45348293595137</v>
      </c>
    </row>
    <row r="32" spans="1:19">
      <c r="L32" t="s">
        <v>80</v>
      </c>
      <c r="M32" s="15">
        <v>45677</v>
      </c>
      <c r="N32" t="b">
        <v>1</v>
      </c>
      <c r="O32" s="10">
        <v>8571</v>
      </c>
      <c r="P32" s="10">
        <v>125</v>
      </c>
      <c r="Q32" s="10">
        <v>57</v>
      </c>
      <c r="R32" s="12">
        <v>14.58406253646016</v>
      </c>
      <c r="S32" s="12">
        <v>6.650332516625832</v>
      </c>
    </row>
    <row r="33" spans="12:19">
      <c r="L33" t="s">
        <v>80</v>
      </c>
      <c r="M33" s="15">
        <v>45684</v>
      </c>
      <c r="N33" t="b">
        <v>1</v>
      </c>
      <c r="O33" s="10">
        <v>8601</v>
      </c>
      <c r="P33" s="10">
        <v>272</v>
      </c>
      <c r="Q33" s="10">
        <v>120</v>
      </c>
      <c r="R33" s="12">
        <v>31.62422974072782</v>
      </c>
      <c r="S33" s="12">
        <v>13.9518660620858</v>
      </c>
    </row>
    <row r="34" spans="12:19">
      <c r="L34" t="s">
        <v>80</v>
      </c>
      <c r="M34" s="15">
        <v>45691</v>
      </c>
      <c r="N34" t="b">
        <v>0</v>
      </c>
      <c r="O34" s="10">
        <v>8630</v>
      </c>
      <c r="P34" s="10">
        <v>115</v>
      </c>
      <c r="Q34" s="10">
        <v>53</v>
      </c>
      <c r="R34" s="12">
        <v>13.32560834298957</v>
      </c>
      <c r="S34" s="12">
        <v>6.141367323290845</v>
      </c>
    </row>
    <row r="35" spans="12:19">
      <c r="L35" t="s">
        <v>80</v>
      </c>
      <c r="M35" s="15">
        <v>45698</v>
      </c>
      <c r="N35" t="b">
        <v>0</v>
      </c>
      <c r="O35" s="10">
        <v>8632</v>
      </c>
      <c r="P35" s="10">
        <v>156</v>
      </c>
      <c r="Q35" s="10">
        <v>59</v>
      </c>
      <c r="R35" s="12">
        <v>18.07228915662651</v>
      </c>
      <c r="S35" s="12">
        <v>6.835032437442076</v>
      </c>
    </row>
    <row r="36" spans="12:19">
      <c r="L36" t="s">
        <v>80</v>
      </c>
      <c r="M36" s="15">
        <v>45705</v>
      </c>
      <c r="N36" t="b">
        <v>0</v>
      </c>
      <c r="O36" s="10">
        <v>8648</v>
      </c>
      <c r="P36" s="10">
        <v>112</v>
      </c>
      <c r="Q36" s="10">
        <v>59</v>
      </c>
      <c r="R36" s="12">
        <v>12.95097132284921</v>
      </c>
      <c r="S36" s="12">
        <v>6.822386679000925</v>
      </c>
    </row>
    <row r="37" spans="12:19">
      <c r="L37" t="s">
        <v>80</v>
      </c>
      <c r="M37" s="15">
        <v>45712</v>
      </c>
      <c r="N37" t="b">
        <v>0</v>
      </c>
      <c r="O37" s="10">
        <v>8657</v>
      </c>
      <c r="P37" s="10">
        <v>163</v>
      </c>
      <c r="Q37" s="10">
        <v>127</v>
      </c>
      <c r="R37" s="12">
        <v>18.82869354279774</v>
      </c>
      <c r="S37" s="12">
        <v>14.67020907935774</v>
      </c>
    </row>
    <row r="38" spans="12:19">
      <c r="L38" t="s">
        <v>80</v>
      </c>
      <c r="M38" s="15">
        <v>45719</v>
      </c>
      <c r="N38" t="b">
        <v>0</v>
      </c>
      <c r="O38" s="10">
        <v>8667</v>
      </c>
      <c r="P38" s="10">
        <v>93</v>
      </c>
      <c r="Q38" s="10">
        <v>45</v>
      </c>
      <c r="R38" s="12">
        <v>10.73035652474905</v>
      </c>
      <c r="S38" s="12">
        <v>5.192107995846314</v>
      </c>
    </row>
    <row r="39" spans="12:19">
      <c r="L39" t="s">
        <v>80</v>
      </c>
      <c r="M39" s="15">
        <v>45726</v>
      </c>
      <c r="N39" t="b">
        <v>0</v>
      </c>
      <c r="O39" s="10">
        <v>8676</v>
      </c>
      <c r="P39" s="10">
        <v>142</v>
      </c>
      <c r="Q39" s="10">
        <v>39</v>
      </c>
      <c r="R39" s="12">
        <v>16.36698939603504</v>
      </c>
      <c r="S39" s="12">
        <v>4.495159059474412</v>
      </c>
    </row>
    <row r="40" spans="12:19">
      <c r="L40" t="s">
        <v>80</v>
      </c>
      <c r="M40" s="15">
        <v>45733</v>
      </c>
      <c r="N40" t="b">
        <v>0</v>
      </c>
      <c r="O40" s="10">
        <v>8679</v>
      </c>
      <c r="P40" s="10">
        <v>112</v>
      </c>
      <c r="Q40" s="10">
        <v>100</v>
      </c>
      <c r="R40" s="12">
        <v>12.90471252448439</v>
      </c>
      <c r="S40" s="12">
        <v>11.52206475400392</v>
      </c>
    </row>
    <row r="41" spans="12:19">
      <c r="L41" t="s">
        <v>80</v>
      </c>
      <c r="M41" s="15">
        <v>45740</v>
      </c>
      <c r="N41" t="b">
        <v>0</v>
      </c>
      <c r="O41" s="10">
        <v>8675</v>
      </c>
      <c r="P41" s="10">
        <v>152</v>
      </c>
      <c r="Q41" s="10">
        <v>76</v>
      </c>
      <c r="R41" s="12">
        <v>17.52161383285302</v>
      </c>
      <c r="S41" s="12">
        <v>8.760806916426512</v>
      </c>
    </row>
    <row r="42" spans="12:19">
      <c r="L42" t="s">
        <v>80</v>
      </c>
      <c r="M42" s="15">
        <v>45747</v>
      </c>
      <c r="N42" t="b">
        <v>0</v>
      </c>
      <c r="O42" s="10">
        <v>8668</v>
      </c>
      <c r="P42" s="10">
        <v>180</v>
      </c>
      <c r="Q42" s="10">
        <v>67</v>
      </c>
      <c r="R42" s="12">
        <v>20.76603599446239</v>
      </c>
      <c r="S42" s="12">
        <v>7.729580064605445</v>
      </c>
    </row>
    <row r="43" spans="12:19">
      <c r="L43" t="s">
        <v>80</v>
      </c>
      <c r="M43" s="15">
        <v>45754</v>
      </c>
      <c r="N43" t="b">
        <v>0</v>
      </c>
      <c r="O43" s="10">
        <v>8684</v>
      </c>
      <c r="P43" s="10">
        <v>166</v>
      </c>
      <c r="Q43" s="10">
        <v>57</v>
      </c>
      <c r="R43" s="12">
        <v>19.11561492399816</v>
      </c>
      <c r="S43" s="12">
        <v>6.563795485951174</v>
      </c>
    </row>
    <row r="44" spans="12:19">
      <c r="L44" t="s">
        <v>80</v>
      </c>
      <c r="M44" s="15">
        <v>45761</v>
      </c>
      <c r="N44" t="b">
        <v>0</v>
      </c>
      <c r="O44" s="10">
        <v>8690</v>
      </c>
      <c r="P44" s="10">
        <v>137</v>
      </c>
      <c r="Q44" s="10">
        <v>87</v>
      </c>
      <c r="R44" s="12">
        <v>15.76524741081703</v>
      </c>
      <c r="S44" s="12">
        <v>10.01150747986191</v>
      </c>
    </row>
    <row r="45" spans="12:19">
      <c r="L45" t="s">
        <v>80</v>
      </c>
      <c r="M45" s="15">
        <v>45768</v>
      </c>
      <c r="N45" t="b">
        <v>0</v>
      </c>
      <c r="O45" s="10">
        <v>8695</v>
      </c>
      <c r="P45" s="10">
        <v>101</v>
      </c>
      <c r="Q45" s="10">
        <v>45</v>
      </c>
      <c r="R45" s="12">
        <v>11.61587119033928</v>
      </c>
      <c r="S45" s="12">
        <v>5.175388154111558</v>
      </c>
    </row>
    <row r="46" spans="12:19">
      <c r="L46" t="s">
        <v>80</v>
      </c>
      <c r="M46" s="15">
        <v>45775</v>
      </c>
      <c r="N46" t="b">
        <v>0</v>
      </c>
      <c r="O46" s="10">
        <v>8703</v>
      </c>
      <c r="P46" s="10">
        <v>174</v>
      </c>
      <c r="Q46" s="10">
        <v>126</v>
      </c>
      <c r="R46" s="12">
        <v>19.99310582557739</v>
      </c>
      <c r="S46" s="12">
        <v>14.47776628748707</v>
      </c>
    </row>
    <row r="47" spans="12:19">
      <c r="L47" t="s">
        <v>80</v>
      </c>
      <c r="M47" s="15">
        <v>45782</v>
      </c>
      <c r="N47" t="b">
        <v>0</v>
      </c>
      <c r="O47" s="10">
        <v>8712</v>
      </c>
      <c r="P47" s="10">
        <v>117</v>
      </c>
      <c r="Q47" s="10">
        <v>56</v>
      </c>
      <c r="R47" s="12">
        <v>13.4297520661157</v>
      </c>
      <c r="S47" s="12">
        <v>6.42791551882461</v>
      </c>
    </row>
    <row r="48" spans="12:19">
      <c r="L48" t="s">
        <v>80</v>
      </c>
      <c r="M48" s="15">
        <v>45789</v>
      </c>
      <c r="N48" t="b">
        <v>0</v>
      </c>
      <c r="O48" s="10">
        <v>8747</v>
      </c>
      <c r="P48" s="10">
        <v>95</v>
      </c>
      <c r="Q48" s="10">
        <v>93</v>
      </c>
      <c r="R48" s="12">
        <v>10.8608665828284</v>
      </c>
      <c r="S48" s="12">
        <v>10.63221676003201</v>
      </c>
    </row>
    <row r="49" spans="12:19">
      <c r="L49" t="s">
        <v>80</v>
      </c>
      <c r="M49" s="15">
        <v>45796</v>
      </c>
      <c r="N49" t="b">
        <v>0</v>
      </c>
      <c r="O49" s="10">
        <v>8756</v>
      </c>
      <c r="P49" s="10">
        <v>141</v>
      </c>
      <c r="Q49" s="10">
        <v>42</v>
      </c>
      <c r="R49" s="12">
        <v>16.10324349017816</v>
      </c>
      <c r="S49" s="12">
        <v>4.796710826861581</v>
      </c>
    </row>
    <row r="50" spans="12:19">
      <c r="L50" t="s">
        <v>80</v>
      </c>
      <c r="M50" s="15">
        <v>45803</v>
      </c>
      <c r="N50" t="b">
        <v>0</v>
      </c>
      <c r="O50" s="10">
        <v>8797</v>
      </c>
      <c r="P50" s="10">
        <v>114</v>
      </c>
      <c r="Q50" s="10">
        <v>110</v>
      </c>
      <c r="R50" s="12">
        <v>12.95896328293736</v>
      </c>
      <c r="S50" s="12">
        <v>12.50426281686939</v>
      </c>
    </row>
    <row r="51" spans="12:19">
      <c r="L51" t="s">
        <v>80</v>
      </c>
      <c r="M51" s="15">
        <v>45810</v>
      </c>
      <c r="N51" t="b">
        <v>0</v>
      </c>
      <c r="O51" s="10">
        <v>8809</v>
      </c>
      <c r="P51" s="10">
        <v>135</v>
      </c>
      <c r="Q51" s="10">
        <v>42</v>
      </c>
      <c r="R51" s="12">
        <v>15.32523555454649</v>
      </c>
      <c r="S51" s="12">
        <v>4.767851061414462</v>
      </c>
    </row>
    <row r="52" spans="12:19">
      <c r="L52" t="s">
        <v>80</v>
      </c>
      <c r="M52" s="15">
        <v>45817</v>
      </c>
      <c r="N52" t="b">
        <v>0</v>
      </c>
      <c r="O52" s="10">
        <v>8826</v>
      </c>
      <c r="P52" s="10">
        <v>117</v>
      </c>
      <c r="Q52" s="10">
        <v>48</v>
      </c>
      <c r="R52" s="12">
        <v>13.256288239293</v>
      </c>
      <c r="S52" s="12">
        <v>5.438477226376614</v>
      </c>
    </row>
    <row r="53" spans="12:19">
      <c r="L53" t="s">
        <v>80</v>
      </c>
      <c r="M53" s="15">
        <v>45824</v>
      </c>
      <c r="N53" t="b">
        <v>0</v>
      </c>
      <c r="O53" s="10">
        <v>8835</v>
      </c>
      <c r="P53" s="10">
        <v>108</v>
      </c>
      <c r="Q53" s="10">
        <v>67</v>
      </c>
      <c r="R53" s="12">
        <v>12.22410865874363</v>
      </c>
      <c r="S53" s="12">
        <v>7.583474816072439</v>
      </c>
    </row>
    <row r="54" spans="12:19">
      <c r="L54" t="s">
        <v>80</v>
      </c>
      <c r="M54" s="15">
        <v>45831</v>
      </c>
      <c r="N54" t="b">
        <v>0</v>
      </c>
      <c r="O54" s="10">
        <v>8845</v>
      </c>
      <c r="P54" s="10">
        <v>103</v>
      </c>
      <c r="Q54" s="10">
        <v>59</v>
      </c>
      <c r="R54" s="12">
        <v>11.64499717354438</v>
      </c>
      <c r="S54" s="12">
        <v>6.670435274166196</v>
      </c>
    </row>
    <row r="55" spans="12:19">
      <c r="L55" t="s">
        <v>80</v>
      </c>
      <c r="M55" s="15">
        <v>45838</v>
      </c>
      <c r="N55" t="b">
        <v>0</v>
      </c>
      <c r="O55" s="10">
        <v>8848</v>
      </c>
      <c r="P55" s="10">
        <v>202</v>
      </c>
      <c r="Q55" s="10">
        <v>118</v>
      </c>
      <c r="R55" s="12">
        <v>22.83001808318264</v>
      </c>
      <c r="S55" s="12">
        <v>13.33634719710669</v>
      </c>
    </row>
    <row r="56" spans="12:19">
      <c r="L56" t="s">
        <v>80</v>
      </c>
      <c r="M56" s="15">
        <v>45845</v>
      </c>
      <c r="N56" t="b">
        <v>0</v>
      </c>
      <c r="O56" s="10">
        <v>8857</v>
      </c>
      <c r="P56" s="10">
        <v>140</v>
      </c>
      <c r="Q56" s="10">
        <v>62</v>
      </c>
      <c r="R56" s="12">
        <v>15.80670655978322</v>
      </c>
      <c r="S56" s="12">
        <v>7.000112905046856</v>
      </c>
    </row>
    <row r="57" spans="12:19">
      <c r="L57" t="s">
        <v>80</v>
      </c>
      <c r="M57" s="15">
        <v>45852</v>
      </c>
      <c r="N57" t="b">
        <v>0</v>
      </c>
      <c r="O57" s="10">
        <v>8864</v>
      </c>
      <c r="P57" s="10">
        <v>79</v>
      </c>
      <c r="Q57" s="10">
        <v>78</v>
      </c>
      <c r="R57" s="12">
        <v>8.91245487364621</v>
      </c>
      <c r="S57" s="12">
        <v>8.799638989169676</v>
      </c>
    </row>
    <row r="58" spans="12:19">
      <c r="L58" t="s">
        <v>80</v>
      </c>
      <c r="M58" s="15">
        <v>45859</v>
      </c>
      <c r="N58" t="b">
        <v>0</v>
      </c>
      <c r="O58" s="10">
        <v>4812</v>
      </c>
      <c r="P58" s="10">
        <v>89</v>
      </c>
      <c r="Q58" s="10">
        <v>49</v>
      </c>
      <c r="R58" s="12">
        <v>18.4954280964256</v>
      </c>
      <c r="S58" s="12">
        <v>10.18287614297589</v>
      </c>
    </row>
    <row r="59" spans="12:19">
      <c r="L59" t="s">
        <v>80</v>
      </c>
      <c r="M59" s="15">
        <v>45866</v>
      </c>
      <c r="N59" t="b">
        <v>0</v>
      </c>
      <c r="O59" s="10">
        <v>4836</v>
      </c>
      <c r="P59" s="10">
        <v>117</v>
      </c>
      <c r="Q59" s="10">
        <v>122</v>
      </c>
      <c r="R59" s="12">
        <v>24.19354838709678</v>
      </c>
      <c r="S59" s="12">
        <v>25.22746071133168</v>
      </c>
    </row>
    <row r="60" spans="12:19">
      <c r="L60" t="s">
        <v>80</v>
      </c>
      <c r="M60" s="15">
        <v>45873</v>
      </c>
      <c r="N60" t="b">
        <v>0</v>
      </c>
      <c r="O60" s="10">
        <v>4886</v>
      </c>
      <c r="P60" s="10">
        <v>145</v>
      </c>
      <c r="Q60" s="10">
        <v>105</v>
      </c>
      <c r="R60" s="12">
        <v>29.67662709783054</v>
      </c>
      <c r="S60" s="12">
        <v>21.48997134670487</v>
      </c>
    </row>
    <row r="61" spans="12:19">
      <c r="L61" t="s">
        <v>80</v>
      </c>
      <c r="M61" s="15">
        <v>45894</v>
      </c>
      <c r="N61" t="b">
        <v>0</v>
      </c>
      <c r="O61" s="10">
        <v>4868</v>
      </c>
      <c r="P61" s="10">
        <v>10</v>
      </c>
      <c r="Q61" s="10">
        <v>9</v>
      </c>
      <c r="R61" s="12">
        <v>2.054231717337716</v>
      </c>
      <c r="S61" s="12">
        <v>1.848808545603944</v>
      </c>
    </row>
    <row r="62" spans="12:19">
      <c r="L62" t="s">
        <v>80</v>
      </c>
      <c r="M62" s="15">
        <v>45901</v>
      </c>
      <c r="N62" t="b">
        <v>0</v>
      </c>
      <c r="O62" s="10">
        <v>4924</v>
      </c>
      <c r="P62" s="10">
        <v>149</v>
      </c>
      <c r="Q62" s="10">
        <v>150</v>
      </c>
      <c r="R62" s="12">
        <v>30.25995125913891</v>
      </c>
      <c r="S62" s="12">
        <v>30.46303818034118</v>
      </c>
    </row>
    <row r="63" spans="12:19">
      <c r="L63" t="s">
        <v>80</v>
      </c>
      <c r="M63" s="15">
        <v>45908</v>
      </c>
      <c r="N63" t="b">
        <v>0</v>
      </c>
      <c r="O63" s="10">
        <v>4915</v>
      </c>
      <c r="P63" s="10">
        <v>77</v>
      </c>
      <c r="Q63" s="10">
        <v>42</v>
      </c>
      <c r="R63" s="12">
        <v>15.66632756866734</v>
      </c>
      <c r="S63" s="12">
        <v>8.54526958290946</v>
      </c>
    </row>
    <row r="64" spans="12:19">
      <c r="L64" t="s">
        <v>80</v>
      </c>
      <c r="M64" s="15">
        <v>45915</v>
      </c>
      <c r="N64" t="b">
        <v>0</v>
      </c>
      <c r="O64" s="10">
        <v>4942</v>
      </c>
      <c r="P64" s="10">
        <v>80</v>
      </c>
      <c r="Q64" s="10">
        <v>88</v>
      </c>
      <c r="R64" s="12">
        <v>16.18777822743828</v>
      </c>
      <c r="S64" s="12">
        <v>17.80655605018211</v>
      </c>
    </row>
    <row r="65" spans="12:19">
      <c r="L65" t="s">
        <v>80</v>
      </c>
      <c r="M65" s="15">
        <v>45922</v>
      </c>
      <c r="N65" t="b">
        <v>0</v>
      </c>
      <c r="O65" s="10">
        <v>4950</v>
      </c>
      <c r="P65" s="10">
        <v>95</v>
      </c>
      <c r="Q65" s="10">
        <v>30</v>
      </c>
      <c r="R65" s="12">
        <v>19.19191919191919</v>
      </c>
      <c r="S65" s="12">
        <v>6.060606060606061</v>
      </c>
    </row>
    <row r="66" spans="12:19">
      <c r="L66" t="s">
        <v>80</v>
      </c>
      <c r="M66" s="15">
        <v>45929</v>
      </c>
      <c r="N66" t="b">
        <v>0</v>
      </c>
      <c r="O66" s="10">
        <v>4963</v>
      </c>
      <c r="P66" s="10">
        <v>126</v>
      </c>
      <c r="Q66" s="10">
        <v>71</v>
      </c>
      <c r="R66" s="12">
        <v>25.38787023977433</v>
      </c>
      <c r="S66" s="12">
        <v>14.30586338907918</v>
      </c>
    </row>
    <row r="67" spans="12:19">
      <c r="L67" t="s">
        <v>80</v>
      </c>
      <c r="M67" s="15">
        <v>45936</v>
      </c>
      <c r="N67" t="b">
        <v>0</v>
      </c>
      <c r="O67" s="10">
        <v>4964</v>
      </c>
      <c r="P67" s="10">
        <v>168</v>
      </c>
      <c r="Q67" s="10">
        <v>54</v>
      </c>
      <c r="R67" s="12">
        <v>33.8436744560838</v>
      </c>
      <c r="S67" s="12">
        <v>10.87832393231265</v>
      </c>
    </row>
    <row r="68" spans="12:19">
      <c r="L68" t="s">
        <v>80</v>
      </c>
      <c r="M68" s="15">
        <v>45943</v>
      </c>
      <c r="N68" t="b">
        <v>0</v>
      </c>
      <c r="O68" s="10">
        <v>4957</v>
      </c>
      <c r="P68" s="10">
        <v>95</v>
      </c>
      <c r="Q68" s="10">
        <v>70</v>
      </c>
      <c r="R68" s="12">
        <v>19.16481742989712</v>
      </c>
      <c r="S68" s="12">
        <v>14.12144442202945</v>
      </c>
    </row>
    <row r="69" spans="12:19">
      <c r="L69" t="s">
        <v>80</v>
      </c>
      <c r="M69" s="15">
        <v>45950</v>
      </c>
      <c r="N69" t="b">
        <v>0</v>
      </c>
      <c r="O69" s="10">
        <v>4938</v>
      </c>
      <c r="P69" s="10">
        <v>109</v>
      </c>
      <c r="Q69" s="10">
        <v>59</v>
      </c>
      <c r="R69" s="12">
        <v>22.07371405427298</v>
      </c>
      <c r="S69" s="12">
        <v>11.94815714864318</v>
      </c>
    </row>
    <row r="70" spans="12:19">
      <c r="L70" t="s">
        <v>80</v>
      </c>
      <c r="M70" s="15">
        <v>45957</v>
      </c>
      <c r="N70" t="b">
        <v>0</v>
      </c>
      <c r="O70" s="10">
        <v>9134</v>
      </c>
      <c r="P70" s="10">
        <v>133</v>
      </c>
      <c r="Q70" s="10">
        <v>83</v>
      </c>
      <c r="R70" s="12">
        <v>14.5609809502956</v>
      </c>
      <c r="S70" s="12">
        <v>9.086927961462669</v>
      </c>
    </row>
    <row r="71" spans="12:19">
      <c r="L71" t="s">
        <v>80</v>
      </c>
      <c r="M71" s="15">
        <v>45964</v>
      </c>
      <c r="N71" t="b">
        <v>1</v>
      </c>
      <c r="O71" s="10">
        <v>9134</v>
      </c>
      <c r="P71" s="10">
        <v>129</v>
      </c>
      <c r="Q71" s="10">
        <v>60</v>
      </c>
      <c r="R71" s="12">
        <v>14.12305671118896</v>
      </c>
      <c r="S71" s="12">
        <v>6.568863586599519</v>
      </c>
    </row>
    <row r="72" spans="12:19">
      <c r="L72" t="s">
        <v>80</v>
      </c>
      <c r="M72" s="15">
        <v>45971</v>
      </c>
      <c r="N72" t="b">
        <v>1</v>
      </c>
      <c r="O72" s="10">
        <v>9163</v>
      </c>
      <c r="P72" s="10">
        <v>73</v>
      </c>
      <c r="Q72" s="10">
        <v>25</v>
      </c>
      <c r="R72" s="12">
        <v>7.966823092873513</v>
      </c>
      <c r="S72" s="12">
        <v>2.728364072901888</v>
      </c>
    </row>
    <row r="73" spans="12:19">
      <c r="L73" t="s">
        <v>80</v>
      </c>
      <c r="M73" s="15">
        <v>45978</v>
      </c>
      <c r="N73" t="b">
        <v>1</v>
      </c>
      <c r="O73" s="10">
        <v>9174</v>
      </c>
      <c r="P73" s="10">
        <v>90</v>
      </c>
      <c r="Q73" s="10">
        <v>51</v>
      </c>
      <c r="R73" s="12">
        <v>9.810333551340744</v>
      </c>
      <c r="S73" s="12">
        <v>5.559189012426423</v>
      </c>
    </row>
    <row r="74" spans="12:19">
      <c r="L74" t="s">
        <v>80</v>
      </c>
      <c r="M74" s="15">
        <v>45985</v>
      </c>
      <c r="N74" t="b">
        <v>1</v>
      </c>
      <c r="O74" s="10">
        <v>9189</v>
      </c>
      <c r="P74" s="10">
        <v>111</v>
      </c>
      <c r="Q74" s="10">
        <v>47</v>
      </c>
      <c r="R74" s="12">
        <v>12.07966046359778</v>
      </c>
      <c r="S74" s="12">
        <v>5.11481118728915</v>
      </c>
    </row>
    <row r="75" spans="12:19">
      <c r="L75" t="s">
        <v>80</v>
      </c>
      <c r="M75" s="15">
        <v>45992</v>
      </c>
      <c r="N75" t="b">
        <v>1</v>
      </c>
      <c r="O75" s="10">
        <v>9198</v>
      </c>
      <c r="P75" s="10">
        <v>157</v>
      </c>
      <c r="Q75" s="10">
        <v>98</v>
      </c>
      <c r="R75" s="12">
        <v>17.06892802783214</v>
      </c>
      <c r="S75" s="12">
        <v>10.6544901065449</v>
      </c>
    </row>
    <row r="76" spans="12:19">
      <c r="L76" t="s">
        <v>80</v>
      </c>
      <c r="M76" s="15">
        <v>45999</v>
      </c>
      <c r="N76" t="b">
        <v>1</v>
      </c>
      <c r="O76" s="10">
        <v>9209</v>
      </c>
      <c r="P76" s="10">
        <v>113</v>
      </c>
      <c r="Q76" s="10">
        <v>70</v>
      </c>
      <c r="R76" s="12">
        <v>12.27060484308828</v>
      </c>
      <c r="S76" s="12">
        <v>7.601259637311326</v>
      </c>
    </row>
    <row r="77" spans="12:19">
      <c r="L77" t="s">
        <v>80</v>
      </c>
      <c r="M77" s="15">
        <v>46006</v>
      </c>
      <c r="N77" t="b">
        <v>1</v>
      </c>
      <c r="O77" s="10">
        <v>9240</v>
      </c>
      <c r="P77" s="10">
        <v>103</v>
      </c>
      <c r="Q77" s="10">
        <v>69</v>
      </c>
      <c r="R77" s="12">
        <v>11.14718614718615</v>
      </c>
      <c r="S77" s="12">
        <v>7.467532467532467</v>
      </c>
    </row>
    <row r="78" spans="12:19">
      <c r="L78" t="s">
        <v>80</v>
      </c>
      <c r="M78" s="15">
        <v>46013</v>
      </c>
      <c r="N78" t="b">
        <v>1</v>
      </c>
      <c r="O78" s="10">
        <v>9243</v>
      </c>
      <c r="P78" s="10">
        <v>106</v>
      </c>
      <c r="Q78" s="10">
        <v>77</v>
      </c>
      <c r="R78" s="12">
        <v>11.46813805041653</v>
      </c>
      <c r="S78" s="12">
        <v>8.330628583793141</v>
      </c>
    </row>
    <row r="79" spans="12:19">
      <c r="L79" t="s">
        <v>80</v>
      </c>
      <c r="M79" s="15">
        <v>46020</v>
      </c>
      <c r="N79" t="b">
        <v>1</v>
      </c>
      <c r="O79" s="10">
        <v>9254</v>
      </c>
      <c r="P79" s="10">
        <v>217</v>
      </c>
      <c r="Q79" s="10">
        <v>62</v>
      </c>
      <c r="R79" s="12">
        <v>23.44931921331316</v>
      </c>
      <c r="S79" s="12">
        <v>6.699805489518046</v>
      </c>
    </row>
    <row r="80" spans="12:19">
      <c r="L80" t="s">
        <v>80</v>
      </c>
      <c r="M80" s="15">
        <v>46027</v>
      </c>
      <c r="N80" t="b">
        <v>1</v>
      </c>
      <c r="O80" s="10">
        <v>9258</v>
      </c>
      <c r="P80" s="10">
        <v>151</v>
      </c>
      <c r="Q80" s="10">
        <v>92</v>
      </c>
      <c r="R80" s="12">
        <v>16.31021818967379</v>
      </c>
      <c r="S80" s="12">
        <v>9.937351479801253</v>
      </c>
    </row>
    <row r="81" spans="12:19">
      <c r="L81" t="s">
        <v>80</v>
      </c>
      <c r="M81" s="15">
        <v>46034</v>
      </c>
      <c r="N81" t="b">
        <v>1</v>
      </c>
      <c r="O81" s="10">
        <v>9259</v>
      </c>
      <c r="P81" s="10">
        <v>70</v>
      </c>
      <c r="Q81" s="10">
        <v>64</v>
      </c>
      <c r="R81" s="12">
        <v>7.560211685927206</v>
      </c>
      <c r="S81" s="12">
        <v>6.91219354141916</v>
      </c>
    </row>
    <row r="82" spans="12:19">
      <c r="L82" t="s">
        <v>80</v>
      </c>
      <c r="M82" s="15">
        <v>46041</v>
      </c>
      <c r="N82" t="b">
        <v>1</v>
      </c>
      <c r="O82" s="10">
        <v>9274</v>
      </c>
      <c r="P82" s="10">
        <v>106</v>
      </c>
      <c r="Q82" s="10">
        <v>102</v>
      </c>
      <c r="R82" s="12">
        <v>11.42980375242614</v>
      </c>
      <c r="S82" s="12">
        <v>10.99849040327798</v>
      </c>
    </row>
    <row r="83" spans="12:19">
      <c r="L83" t="s">
        <v>80</v>
      </c>
      <c r="M83" s="15">
        <v>46048</v>
      </c>
      <c r="N83" t="b">
        <v>1</v>
      </c>
      <c r="O83" s="10">
        <v>9291</v>
      </c>
      <c r="P83" s="10">
        <v>103</v>
      </c>
      <c r="Q83" s="10">
        <v>53</v>
      </c>
      <c r="R83" s="12">
        <v>11.08599720159294</v>
      </c>
      <c r="S83" s="12">
        <v>5.704445161984716</v>
      </c>
    </row>
    <row r="84" spans="12:19">
      <c r="L84" t="s">
        <v>80</v>
      </c>
      <c r="M84" s="15">
        <v>46055</v>
      </c>
      <c r="N84" t="b">
        <v>1</v>
      </c>
      <c r="O84" s="10">
        <v>9314</v>
      </c>
      <c r="P84" s="10">
        <v>105</v>
      </c>
      <c r="Q84" s="10">
        <v>91</v>
      </c>
      <c r="R84" s="12">
        <v>11.27335194331114</v>
      </c>
      <c r="S84" s="12">
        <v>9.770238350869658</v>
      </c>
    </row>
    <row r="85" spans="12:19">
      <c r="L85" t="s">
        <v>80</v>
      </c>
      <c r="M85" s="15">
        <v>46062</v>
      </c>
      <c r="N85" t="b">
        <v>0</v>
      </c>
      <c r="O85" s="10">
        <v>9324</v>
      </c>
      <c r="P85" s="10">
        <v>96</v>
      </c>
      <c r="Q85" s="10">
        <v>90</v>
      </c>
      <c r="R85" s="12">
        <v>10.2960102960103</v>
      </c>
      <c r="S85" s="12">
        <v>9.652509652509652</v>
      </c>
    </row>
    <row r="86" spans="12:19">
      <c r="L86" t="s">
        <v>80</v>
      </c>
      <c r="M86" s="15">
        <v>46069</v>
      </c>
      <c r="N86" t="b">
        <v>0</v>
      </c>
      <c r="O86" s="10">
        <v>9325</v>
      </c>
      <c r="P86" s="10">
        <v>138</v>
      </c>
      <c r="Q86" s="10">
        <v>65</v>
      </c>
      <c r="R86" s="12">
        <v>14.79892761394102</v>
      </c>
      <c r="S86" s="12">
        <v>6.970509383378016</v>
      </c>
    </row>
    <row r="87" spans="12:19">
      <c r="L87" t="s">
        <v>80</v>
      </c>
      <c r="M87" s="15">
        <v>46076</v>
      </c>
      <c r="N87" t="b">
        <v>0</v>
      </c>
      <c r="O87" s="10">
        <v>9286</v>
      </c>
      <c r="P87" s="10">
        <v>144</v>
      </c>
      <c r="Q87" s="10">
        <v>69</v>
      </c>
      <c r="R87" s="12">
        <v>15.50721516261038</v>
      </c>
      <c r="S87" s="12">
        <v>7.430540598750808</v>
      </c>
    </row>
    <row r="88" spans="12:19">
      <c r="L88" t="s">
        <v>80</v>
      </c>
      <c r="M88" s="15">
        <v>46083</v>
      </c>
      <c r="N88" t="b">
        <v>0</v>
      </c>
      <c r="O88" s="10">
        <v>9291</v>
      </c>
      <c r="P88" s="10">
        <v>140</v>
      </c>
      <c r="Q88" s="10">
        <v>83</v>
      </c>
      <c r="R88" s="12">
        <v>15.06834571090302</v>
      </c>
      <c r="S88" s="12">
        <v>8.93337638574965</v>
      </c>
    </row>
    <row r="89" spans="12:19">
      <c r="L89" t="s">
        <v>80</v>
      </c>
      <c r="M89" s="15">
        <v>46090</v>
      </c>
      <c r="N89" t="b">
        <v>0</v>
      </c>
      <c r="O89" s="10">
        <v>9303</v>
      </c>
      <c r="P89" s="10">
        <v>84</v>
      </c>
      <c r="Q89" s="10">
        <v>51</v>
      </c>
      <c r="R89" s="12">
        <v>9.029345372460496</v>
      </c>
      <c r="S89" s="12">
        <v>5.482102547565302</v>
      </c>
    </row>
    <row r="90" spans="12:19">
      <c r="L90" t="s">
        <v>80</v>
      </c>
      <c r="M90" s="15">
        <v>46097</v>
      </c>
      <c r="N90" t="b">
        <v>0</v>
      </c>
      <c r="O90" s="10">
        <v>9321</v>
      </c>
      <c r="P90" s="10">
        <v>97</v>
      </c>
      <c r="Q90" s="10">
        <v>64</v>
      </c>
      <c r="R90" s="12">
        <v>10.40660873296857</v>
      </c>
      <c r="S90" s="12">
        <v>6.866216071236992</v>
      </c>
    </row>
    <row r="91" spans="12:19">
      <c r="L91" t="s">
        <v>80</v>
      </c>
      <c r="M91" s="15">
        <v>46104</v>
      </c>
      <c r="N91" t="b">
        <v>0</v>
      </c>
      <c r="O91" s="10">
        <v>9340</v>
      </c>
      <c r="P91" s="10">
        <v>118</v>
      </c>
      <c r="Q91" s="10">
        <v>96</v>
      </c>
      <c r="R91" s="12">
        <v>12.6338329764454</v>
      </c>
      <c r="S91" s="12">
        <v>10.27837259100642</v>
      </c>
    </row>
    <row r="92" spans="12:19">
      <c r="L92" t="s">
        <v>80</v>
      </c>
      <c r="M92" s="15">
        <v>46111</v>
      </c>
      <c r="N92" t="b">
        <v>0</v>
      </c>
      <c r="O92" s="10">
        <v>9348</v>
      </c>
      <c r="P92" s="10">
        <v>129</v>
      </c>
      <c r="Q92" s="10">
        <v>81</v>
      </c>
      <c r="R92" s="12">
        <v>13.7997432605905</v>
      </c>
      <c r="S92" s="12">
        <v>8.664955070603337</v>
      </c>
    </row>
    <row r="93" spans="12:19">
      <c r="L93" t="s">
        <v>80</v>
      </c>
      <c r="M93" s="15">
        <v>46118</v>
      </c>
      <c r="N93" t="b">
        <v>0</v>
      </c>
      <c r="O93" s="10">
        <v>9353</v>
      </c>
      <c r="P93" s="10">
        <v>147</v>
      </c>
      <c r="Q93" s="10">
        <v>41</v>
      </c>
      <c r="R93" s="12">
        <v>15.71688228375922</v>
      </c>
      <c r="S93" s="12">
        <v>4.383620228803593</v>
      </c>
    </row>
    <row r="94" spans="12:19">
      <c r="L94" t="s">
        <v>80</v>
      </c>
      <c r="M94" s="15">
        <v>46125</v>
      </c>
      <c r="N94" t="b">
        <v>0</v>
      </c>
      <c r="O94" s="10">
        <v>9368</v>
      </c>
      <c r="P94" s="10">
        <v>224</v>
      </c>
      <c r="Q94" s="10">
        <v>67</v>
      </c>
      <c r="R94" s="12">
        <v>23.91118701964133</v>
      </c>
      <c r="S94" s="12">
        <v>7.15200683176772</v>
      </c>
    </row>
    <row r="95" spans="12:19">
      <c r="L95" t="s">
        <v>80</v>
      </c>
      <c r="M95" s="15">
        <v>46132</v>
      </c>
      <c r="N95" t="b">
        <v>0</v>
      </c>
      <c r="O95" s="10">
        <v>9385</v>
      </c>
      <c r="P95" s="10">
        <v>118</v>
      </c>
      <c r="Q95" s="10">
        <v>46</v>
      </c>
      <c r="R95" s="12">
        <v>12.57325519445924</v>
      </c>
      <c r="S95" s="12">
        <v>4.901438465636654</v>
      </c>
    </row>
    <row r="96" spans="12:19">
      <c r="L96" t="s">
        <v>80</v>
      </c>
      <c r="M96" s="15">
        <v>46139</v>
      </c>
      <c r="N96" t="b">
        <v>0</v>
      </c>
      <c r="O96" s="10">
        <v>9395</v>
      </c>
      <c r="P96" s="10">
        <v>196</v>
      </c>
      <c r="Q96" s="10">
        <v>39</v>
      </c>
      <c r="R96" s="12">
        <v>20.86216072378925</v>
      </c>
      <c r="S96" s="12">
        <v>4.151144225651943</v>
      </c>
    </row>
    <row r="97" spans="12:19">
      <c r="L97" t="s">
        <v>80</v>
      </c>
      <c r="M97" s="15">
        <v>46146</v>
      </c>
      <c r="N97" t="b">
        <v>0</v>
      </c>
      <c r="O97" s="10">
        <v>9407</v>
      </c>
      <c r="P97" s="10">
        <v>90</v>
      </c>
      <c r="Q97" s="10">
        <v>41</v>
      </c>
      <c r="R97" s="12">
        <v>9.567343467630488</v>
      </c>
      <c r="S97" s="12">
        <v>4.358456468587223</v>
      </c>
    </row>
    <row r="98" spans="12:19">
      <c r="L98" t="s">
        <v>80</v>
      </c>
      <c r="M98" s="15">
        <v>46153</v>
      </c>
      <c r="N98" t="b">
        <v>0</v>
      </c>
      <c r="O98" s="10">
        <v>9422</v>
      </c>
      <c r="P98" s="10">
        <v>91</v>
      </c>
      <c r="Q98" s="10">
        <v>46</v>
      </c>
      <c r="R98" s="12">
        <v>9.658246656760772</v>
      </c>
      <c r="S98" s="12">
        <v>4.882190617703248</v>
      </c>
    </row>
    <row r="99" spans="12:19">
      <c r="L99" t="s">
        <v>80</v>
      </c>
      <c r="M99" s="15">
        <v>46160</v>
      </c>
      <c r="N99" t="b">
        <v>0</v>
      </c>
      <c r="O99" s="10">
        <v>9439</v>
      </c>
      <c r="P99" s="10">
        <v>126</v>
      </c>
      <c r="Q99" s="10">
        <v>57</v>
      </c>
      <c r="R99" s="12">
        <v>13.34887170251086</v>
      </c>
      <c r="S99" s="12">
        <v>6.038775293993008</v>
      </c>
    </row>
    <row r="100" spans="12:19">
      <c r="L100" t="s">
        <v>80</v>
      </c>
      <c r="M100" s="15">
        <v>46167</v>
      </c>
      <c r="N100" t="b">
        <v>0</v>
      </c>
      <c r="O100" s="10">
        <v>9450</v>
      </c>
      <c r="P100" s="10">
        <v>73</v>
      </c>
      <c r="Q100" s="10">
        <v>29</v>
      </c>
      <c r="R100" s="12">
        <v>7.724867724867725</v>
      </c>
      <c r="S100" s="12">
        <v>3.068783068783069</v>
      </c>
    </row>
    <row r="101" spans="12:19">
      <c r="L101" t="s">
        <v>80</v>
      </c>
      <c r="M101" s="15">
        <v>46174</v>
      </c>
      <c r="N101" t="b">
        <v>0</v>
      </c>
      <c r="O101" s="10">
        <v>9469</v>
      </c>
      <c r="P101" s="10">
        <v>108</v>
      </c>
      <c r="Q101" s="10">
        <v>45</v>
      </c>
      <c r="R101" s="12">
        <v>11.40563945506389</v>
      </c>
      <c r="S101" s="12">
        <v>4.752349772943289</v>
      </c>
    </row>
    <row r="102" spans="12:19">
      <c r="L102" t="s">
        <v>80</v>
      </c>
      <c r="M102" s="15">
        <v>46181</v>
      </c>
      <c r="N102" t="b">
        <v>0</v>
      </c>
      <c r="O102" s="10">
        <v>9486</v>
      </c>
      <c r="P102" s="10">
        <v>75</v>
      </c>
      <c r="Q102" s="10">
        <v>39</v>
      </c>
      <c r="R102" s="12">
        <v>7.906388361796331</v>
      </c>
      <c r="S102" s="12">
        <v>4.111321948134092</v>
      </c>
    </row>
    <row r="103" spans="12:19">
      <c r="L103" t="s">
        <v>80</v>
      </c>
      <c r="M103" s="15">
        <v>46188</v>
      </c>
      <c r="N103" t="b">
        <v>0</v>
      </c>
      <c r="O103" s="10">
        <v>9493</v>
      </c>
      <c r="P103" s="10">
        <v>67</v>
      </c>
      <c r="Q103" s="10">
        <v>74</v>
      </c>
      <c r="R103" s="12">
        <v>7.057832086800801</v>
      </c>
      <c r="S103" s="12">
        <v>7.795217528705362</v>
      </c>
    </row>
    <row r="104" spans="12:19">
      <c r="L104" t="s">
        <v>80</v>
      </c>
      <c r="M104" s="15">
        <v>46195</v>
      </c>
      <c r="N104" t="b">
        <v>0</v>
      </c>
      <c r="O104" s="10">
        <v>9504</v>
      </c>
      <c r="P104" s="10">
        <v>132</v>
      </c>
      <c r="Q104" s="10">
        <v>39</v>
      </c>
      <c r="R104" s="12">
        <v>13.88888888888889</v>
      </c>
      <c r="S104" s="12">
        <v>4.103535353535354</v>
      </c>
    </row>
    <row r="105" spans="12:19">
      <c r="L105" t="s">
        <v>80</v>
      </c>
      <c r="M105" s="15">
        <v>46202</v>
      </c>
      <c r="N105" t="b">
        <v>0</v>
      </c>
      <c r="O105" s="10">
        <v>9525</v>
      </c>
      <c r="P105" s="10">
        <v>93</v>
      </c>
      <c r="Q105" s="10">
        <v>39</v>
      </c>
      <c r="R105" s="12">
        <v>9.763779527559056</v>
      </c>
      <c r="S105" s="12">
        <v>4.094488188976378</v>
      </c>
    </row>
    <row r="106" spans="12:19">
      <c r="L106" t="s">
        <v>80</v>
      </c>
      <c r="M106" s="15">
        <v>46209</v>
      </c>
      <c r="N106" t="b">
        <v>0</v>
      </c>
      <c r="O106" s="10">
        <v>9535</v>
      </c>
      <c r="P106" s="10">
        <v>78</v>
      </c>
      <c r="Q106" s="10">
        <v>57</v>
      </c>
      <c r="R106" s="12">
        <v>8.180388044048243</v>
      </c>
      <c r="S106" s="12">
        <v>5.977975878342947</v>
      </c>
    </row>
    <row r="107" spans="12:19">
      <c r="L107" t="s">
        <v>80</v>
      </c>
      <c r="M107" s="15">
        <v>46216</v>
      </c>
      <c r="N107" t="b">
        <v>0</v>
      </c>
      <c r="O107" s="10">
        <v>9552</v>
      </c>
      <c r="P107" s="10">
        <v>93</v>
      </c>
      <c r="Q107" s="10">
        <v>49</v>
      </c>
      <c r="R107" s="12">
        <v>9.736180904522612</v>
      </c>
      <c r="S107" s="12">
        <v>5.129815745393635</v>
      </c>
    </row>
    <row r="108" spans="12:19">
      <c r="L108" t="s">
        <v>80</v>
      </c>
      <c r="M108" s="15">
        <v>46223</v>
      </c>
      <c r="N108" t="b">
        <v>0</v>
      </c>
      <c r="O108" s="10">
        <v>9564</v>
      </c>
      <c r="P108" s="10">
        <v>111</v>
      </c>
      <c r="Q108" s="10">
        <v>63</v>
      </c>
      <c r="R108" s="12">
        <v>11.6060225846926</v>
      </c>
      <c r="S108" s="12">
        <v>6.587202007528231</v>
      </c>
    </row>
    <row r="109" spans="12:19">
      <c r="L109" t="s">
        <v>80</v>
      </c>
      <c r="M109" s="15">
        <v>46230</v>
      </c>
      <c r="N109" t="b">
        <v>0</v>
      </c>
      <c r="O109" s="10">
        <v>9583</v>
      </c>
      <c r="P109" s="10">
        <v>110</v>
      </c>
      <c r="Q109" s="10">
        <v>42</v>
      </c>
      <c r="R109" s="12">
        <v>11.47866012730878</v>
      </c>
      <c r="S109" s="12">
        <v>4.382761139517896</v>
      </c>
    </row>
    <row r="110" spans="12:19">
      <c r="L110" t="s">
        <v>80</v>
      </c>
      <c r="M110" s="15">
        <v>46237</v>
      </c>
      <c r="N110" t="b">
        <v>0</v>
      </c>
      <c r="O110" s="10">
        <v>9580</v>
      </c>
      <c r="P110" s="10">
        <v>120</v>
      </c>
      <c r="Q110" s="10">
        <v>71</v>
      </c>
      <c r="R110" s="12">
        <v>12.52609603340292</v>
      </c>
      <c r="S110" s="12">
        <v>7.411273486430063</v>
      </c>
    </row>
    <row r="111" spans="12:19">
      <c r="L111" t="s">
        <v>80</v>
      </c>
      <c r="M111" s="15">
        <v>46244</v>
      </c>
      <c r="N111" t="b">
        <v>0</v>
      </c>
      <c r="O111" s="10">
        <v>9591</v>
      </c>
      <c r="P111" s="10">
        <v>93</v>
      </c>
      <c r="Q111" s="10">
        <v>47</v>
      </c>
      <c r="R111" s="12">
        <v>9.69659055364404</v>
      </c>
      <c r="S111" s="12">
        <v>4.900427484099676</v>
      </c>
    </row>
    <row r="112" spans="12:19">
      <c r="L112" t="s">
        <v>80</v>
      </c>
      <c r="M112" s="15">
        <v>46251</v>
      </c>
      <c r="N112" t="b">
        <v>0</v>
      </c>
      <c r="O112" s="10">
        <v>9594</v>
      </c>
      <c r="P112" s="10">
        <v>111</v>
      </c>
      <c r="Q112" s="10">
        <v>77</v>
      </c>
      <c r="R112" s="12">
        <v>11.5697310819262</v>
      </c>
      <c r="S112" s="12">
        <v>8.025849489264123</v>
      </c>
    </row>
    <row r="113" spans="12:19">
      <c r="L113" t="s">
        <v>80</v>
      </c>
      <c r="M113" s="15">
        <v>46258</v>
      </c>
      <c r="N113" t="b">
        <v>0</v>
      </c>
      <c r="O113" s="10">
        <v>9598</v>
      </c>
      <c r="P113" s="10">
        <v>65</v>
      </c>
      <c r="Q113" s="10">
        <v>53</v>
      </c>
      <c r="R113" s="12">
        <v>6.772244217545322</v>
      </c>
      <c r="S113" s="12">
        <v>5.521983746613878</v>
      </c>
    </row>
    <row r="114" spans="12:19">
      <c r="L114" t="s">
        <v>80</v>
      </c>
      <c r="M114" s="15">
        <v>46265</v>
      </c>
      <c r="N114" t="b">
        <v>0</v>
      </c>
      <c r="O114" s="10">
        <v>9611</v>
      </c>
      <c r="P114" s="10">
        <v>131</v>
      </c>
      <c r="Q114" s="10">
        <v>102</v>
      </c>
      <c r="R114" s="12">
        <v>13.63021537821247</v>
      </c>
      <c r="S114" s="12">
        <v>10.61283945479138</v>
      </c>
    </row>
    <row r="115" spans="12:19">
      <c r="L115" t="s">
        <v>80</v>
      </c>
      <c r="M115" s="15">
        <v>46272</v>
      </c>
      <c r="N115" t="b">
        <v>0</v>
      </c>
      <c r="O115" s="10">
        <v>9623</v>
      </c>
      <c r="P115" s="10">
        <v>130</v>
      </c>
      <c r="Q115" s="10">
        <v>100</v>
      </c>
      <c r="R115" s="12">
        <v>13.50930063389795</v>
      </c>
      <c r="S115" s="12">
        <v>10.39176971838304</v>
      </c>
    </row>
    <row r="116" spans="12:19">
      <c r="L116" t="s">
        <v>80</v>
      </c>
      <c r="M116" s="15">
        <v>46279</v>
      </c>
      <c r="N116" t="b">
        <v>0</v>
      </c>
      <c r="O116" s="10">
        <v>9620</v>
      </c>
      <c r="P116" s="10">
        <v>13</v>
      </c>
      <c r="Q116" s="10">
        <v>91</v>
      </c>
      <c r="R116" s="12">
        <v>1.351351351351351</v>
      </c>
      <c r="S116" s="12">
        <v>9.45945945945946</v>
      </c>
    </row>
    <row r="117" spans="12:19">
      <c r="L117" t="s">
        <v>80</v>
      </c>
      <c r="M117" s="15">
        <v>46286</v>
      </c>
      <c r="N117" t="b">
        <v>0</v>
      </c>
      <c r="O117" s="10">
        <v>9630</v>
      </c>
      <c r="P117" s="10">
        <v>125</v>
      </c>
      <c r="Q117" s="10">
        <v>58</v>
      </c>
      <c r="R117" s="12">
        <v>12.98026998961578</v>
      </c>
      <c r="S117" s="12">
        <v>6.022845275181724</v>
      </c>
    </row>
    <row r="118" spans="12:19">
      <c r="L118" t="s">
        <v>80</v>
      </c>
      <c r="M118" s="15">
        <v>46293</v>
      </c>
      <c r="N118" t="b">
        <v>0</v>
      </c>
      <c r="O118" s="10">
        <v>9634</v>
      </c>
      <c r="P118" s="10">
        <v>183</v>
      </c>
      <c r="Q118" s="10">
        <v>166</v>
      </c>
      <c r="R118" s="12">
        <v>18.99522524392776</v>
      </c>
      <c r="S118" s="12">
        <v>17.2306414780984</v>
      </c>
    </row>
    <row r="119" spans="12:19">
      <c r="L119" t="s">
        <v>80</v>
      </c>
      <c r="M119" s="15">
        <v>46300</v>
      </c>
      <c r="N119" t="b">
        <v>0</v>
      </c>
      <c r="O119" s="10">
        <v>9639</v>
      </c>
      <c r="P119" s="10">
        <v>113</v>
      </c>
      <c r="Q119" s="10">
        <v>167</v>
      </c>
      <c r="R119" s="12">
        <v>11.72320780163918</v>
      </c>
      <c r="S119" s="12">
        <v>17.32544869799772</v>
      </c>
    </row>
    <row r="120" spans="12:19">
      <c r="L120" t="s">
        <v>61</v>
      </c>
      <c r="M120" s="15">
        <v>45488</v>
      </c>
      <c r="N120" t="b">
        <v>0</v>
      </c>
      <c r="O120" s="10">
        <v>8464</v>
      </c>
      <c r="P120" s="10">
        <v>117</v>
      </c>
      <c r="Q120" s="10">
        <v>89</v>
      </c>
      <c r="R120" s="12">
        <v>13.82325141776938</v>
      </c>
      <c r="S120" s="12">
        <v>10.51512287334594</v>
      </c>
    </row>
    <row r="121" spans="12:19">
      <c r="L121" t="s">
        <v>61</v>
      </c>
      <c r="M121" s="15">
        <v>45495</v>
      </c>
      <c r="N121" t="b">
        <v>0</v>
      </c>
      <c r="O121" s="10">
        <v>8449</v>
      </c>
      <c r="P121" s="10">
        <v>147</v>
      </c>
      <c r="Q121" s="10">
        <v>114</v>
      </c>
      <c r="R121" s="12">
        <v>17.39850869925435</v>
      </c>
      <c r="S121" s="12">
        <v>13.4927210320748</v>
      </c>
    </row>
    <row r="122" spans="12:19">
      <c r="L122" t="s">
        <v>61</v>
      </c>
      <c r="M122" s="15">
        <v>45502</v>
      </c>
      <c r="N122" t="b">
        <v>0</v>
      </c>
      <c r="O122" s="10">
        <v>8518</v>
      </c>
      <c r="P122" s="10">
        <v>105</v>
      </c>
      <c r="Q122" s="10">
        <v>76</v>
      </c>
      <c r="R122" s="12">
        <v>12.32683728574783</v>
      </c>
      <c r="S122" s="12">
        <v>8.922282225874618</v>
      </c>
    </row>
    <row r="123" spans="12:19">
      <c r="L123" t="s">
        <v>61</v>
      </c>
      <c r="M123" s="15">
        <v>45509</v>
      </c>
      <c r="N123" t="b">
        <v>0</v>
      </c>
      <c r="O123" s="10">
        <v>8468</v>
      </c>
      <c r="P123" s="10">
        <v>149</v>
      </c>
      <c r="Q123" s="10">
        <v>143</v>
      </c>
      <c r="R123" s="12">
        <v>17.59565422768068</v>
      </c>
      <c r="S123" s="12">
        <v>16.88710439300898</v>
      </c>
    </row>
    <row r="124" spans="12:19">
      <c r="L124" t="s">
        <v>61</v>
      </c>
      <c r="M124" s="15">
        <v>45516</v>
      </c>
      <c r="N124" t="b">
        <v>0</v>
      </c>
      <c r="O124" s="10">
        <v>8600</v>
      </c>
      <c r="P124" s="10">
        <v>270</v>
      </c>
      <c r="Q124" s="10">
        <v>245</v>
      </c>
      <c r="R124" s="12">
        <v>31.3953488372093</v>
      </c>
      <c r="S124" s="12">
        <v>28.48837209302325</v>
      </c>
    </row>
    <row r="125" spans="12:19">
      <c r="L125" t="s">
        <v>61</v>
      </c>
      <c r="M125" s="15">
        <v>45523</v>
      </c>
      <c r="N125" t="b">
        <v>0</v>
      </c>
      <c r="O125" s="10">
        <v>8726</v>
      </c>
      <c r="P125" s="10">
        <v>99</v>
      </c>
      <c r="Q125" s="10">
        <v>146</v>
      </c>
      <c r="R125" s="12">
        <v>11.34540453816182</v>
      </c>
      <c r="S125" s="12">
        <v>16.73160669264268</v>
      </c>
    </row>
    <row r="126" spans="12:19">
      <c r="L126" t="s">
        <v>61</v>
      </c>
      <c r="M126" s="15">
        <v>45530</v>
      </c>
      <c r="N126" t="b">
        <v>0</v>
      </c>
      <c r="O126" s="10">
        <v>8678</v>
      </c>
      <c r="P126" s="10">
        <v>170</v>
      </c>
      <c r="Q126" s="10">
        <v>131</v>
      </c>
      <c r="R126" s="12">
        <v>19.58976722747177</v>
      </c>
      <c r="S126" s="12">
        <v>15.09564415764001</v>
      </c>
    </row>
    <row r="127" spans="12:19">
      <c r="L127" t="s">
        <v>61</v>
      </c>
      <c r="M127" s="15">
        <v>45537</v>
      </c>
      <c r="N127" t="b">
        <v>0</v>
      </c>
      <c r="O127" s="10">
        <v>8560</v>
      </c>
      <c r="P127" s="10">
        <v>202</v>
      </c>
      <c r="Q127" s="10">
        <v>119</v>
      </c>
      <c r="R127" s="12">
        <v>23.59813084112149</v>
      </c>
      <c r="S127" s="12">
        <v>13.9018691588785</v>
      </c>
    </row>
    <row r="128" spans="12:19">
      <c r="L128" t="s">
        <v>61</v>
      </c>
      <c r="M128" s="15">
        <v>45544</v>
      </c>
      <c r="N128" t="b">
        <v>0</v>
      </c>
      <c r="O128" s="10">
        <v>9731</v>
      </c>
      <c r="P128" s="10">
        <v>269</v>
      </c>
      <c r="Q128" s="10">
        <v>91</v>
      </c>
      <c r="R128" s="12">
        <v>27.64361319494399</v>
      </c>
      <c r="S128" s="12">
        <v>9.351556880073993</v>
      </c>
    </row>
    <row r="129" spans="12:19">
      <c r="L129" t="s">
        <v>61</v>
      </c>
      <c r="M129" s="15">
        <v>45551</v>
      </c>
      <c r="N129" t="b">
        <v>0</v>
      </c>
      <c r="O129" s="10">
        <v>9751</v>
      </c>
      <c r="P129" s="10">
        <v>401</v>
      </c>
      <c r="Q129" s="10">
        <v>287</v>
      </c>
      <c r="R129" s="12">
        <v>41.12398728335555</v>
      </c>
      <c r="S129" s="12">
        <v>29.43287867910984</v>
      </c>
    </row>
    <row r="130" spans="12:19">
      <c r="L130" t="s">
        <v>61</v>
      </c>
      <c r="M130" s="15">
        <v>45558</v>
      </c>
      <c r="N130" t="b">
        <v>0</v>
      </c>
      <c r="O130" s="10">
        <v>16915</v>
      </c>
      <c r="P130" s="10">
        <v>341</v>
      </c>
      <c r="Q130" s="10">
        <v>299</v>
      </c>
      <c r="R130" s="12">
        <v>20.15962163759976</v>
      </c>
      <c r="S130" s="12">
        <v>17.67661838604789</v>
      </c>
    </row>
    <row r="131" spans="12:19">
      <c r="L131" t="s">
        <v>61</v>
      </c>
      <c r="M131" s="15">
        <v>45565</v>
      </c>
      <c r="N131" t="b">
        <v>0</v>
      </c>
      <c r="O131" s="10">
        <v>16938</v>
      </c>
      <c r="P131" s="10">
        <v>585</v>
      </c>
      <c r="Q131" s="10">
        <v>391</v>
      </c>
      <c r="R131" s="12">
        <v>34.53772582359192</v>
      </c>
      <c r="S131" s="12">
        <v>23.08418939662298</v>
      </c>
    </row>
    <row r="132" spans="12:19">
      <c r="L132" t="s">
        <v>61</v>
      </c>
      <c r="M132" s="15">
        <v>45572</v>
      </c>
      <c r="N132" t="b">
        <v>0</v>
      </c>
      <c r="O132" s="10">
        <v>16840</v>
      </c>
      <c r="P132" s="10">
        <v>329</v>
      </c>
      <c r="Q132" s="10">
        <v>188</v>
      </c>
      <c r="R132" s="12">
        <v>19.53681710213777</v>
      </c>
      <c r="S132" s="12">
        <v>11.16389548693587</v>
      </c>
    </row>
    <row r="133" spans="12:19">
      <c r="L133" t="s">
        <v>61</v>
      </c>
      <c r="M133" s="15">
        <v>45579</v>
      </c>
      <c r="N133" t="b">
        <v>0</v>
      </c>
      <c r="O133" s="10">
        <v>16990</v>
      </c>
      <c r="P133" s="10">
        <v>682</v>
      </c>
      <c r="Q133" s="10">
        <v>262</v>
      </c>
      <c r="R133" s="12">
        <v>40.14125956444968</v>
      </c>
      <c r="S133" s="12">
        <v>15.42083578575633</v>
      </c>
    </row>
    <row r="134" spans="12:19">
      <c r="L134" t="s">
        <v>61</v>
      </c>
      <c r="M134" s="15">
        <v>45586</v>
      </c>
      <c r="N134" t="b">
        <v>0</v>
      </c>
      <c r="O134" s="10">
        <v>16910</v>
      </c>
      <c r="P134" s="10">
        <v>225</v>
      </c>
      <c r="Q134" s="10">
        <v>161</v>
      </c>
      <c r="R134" s="12">
        <v>13.30573625073921</v>
      </c>
      <c r="S134" s="12">
        <v>9.520993494973389</v>
      </c>
    </row>
    <row r="135" spans="12:19">
      <c r="L135" t="s">
        <v>61</v>
      </c>
      <c r="M135" s="15">
        <v>45593</v>
      </c>
      <c r="N135" t="b">
        <v>0</v>
      </c>
      <c r="O135" s="10">
        <v>17053</v>
      </c>
      <c r="P135" s="10">
        <v>685</v>
      </c>
      <c r="Q135" s="10">
        <v>857</v>
      </c>
      <c r="R135" s="12">
        <v>40.1688852401337</v>
      </c>
      <c r="S135" s="12">
        <v>50.25508708145195</v>
      </c>
    </row>
    <row r="136" spans="12:19">
      <c r="L136" t="s">
        <v>61</v>
      </c>
      <c r="M136" s="15">
        <v>45600</v>
      </c>
      <c r="N136" t="b">
        <v>1</v>
      </c>
      <c r="O136" s="10">
        <v>16878</v>
      </c>
      <c r="P136" s="10">
        <v>344</v>
      </c>
      <c r="Q136" s="10">
        <v>285</v>
      </c>
      <c r="R136" s="12">
        <v>20.38156179642138</v>
      </c>
      <c r="S136" s="12">
        <v>16.8858869534305</v>
      </c>
    </row>
    <row r="137" spans="12:19">
      <c r="L137" t="s">
        <v>61</v>
      </c>
      <c r="M137" s="15">
        <v>45607</v>
      </c>
      <c r="N137" t="b">
        <v>1</v>
      </c>
      <c r="O137" s="10">
        <v>16833</v>
      </c>
      <c r="P137" s="10">
        <v>399</v>
      </c>
      <c r="Q137" s="10">
        <v>289</v>
      </c>
      <c r="R137" s="12">
        <v>23.70343967207272</v>
      </c>
      <c r="S137" s="12">
        <v>17.16865680508525</v>
      </c>
    </row>
    <row r="138" spans="12:19">
      <c r="L138" t="s">
        <v>61</v>
      </c>
      <c r="M138" s="15">
        <v>45614</v>
      </c>
      <c r="N138" t="b">
        <v>1</v>
      </c>
      <c r="O138" s="10">
        <v>16881</v>
      </c>
      <c r="P138" s="10">
        <v>581</v>
      </c>
      <c r="Q138" s="10">
        <v>216</v>
      </c>
      <c r="R138" s="12">
        <v>34.41739233457734</v>
      </c>
      <c r="S138" s="12">
        <v>12.79545050648658</v>
      </c>
    </row>
    <row r="139" spans="12:19">
      <c r="L139" t="s">
        <v>61</v>
      </c>
      <c r="M139" s="15">
        <v>45621</v>
      </c>
      <c r="N139" t="b">
        <v>1</v>
      </c>
      <c r="O139" s="10">
        <v>16889</v>
      </c>
      <c r="P139" s="10">
        <v>1327</v>
      </c>
      <c r="Q139" s="10">
        <v>826</v>
      </c>
      <c r="R139" s="12">
        <v>78.57185150097696</v>
      </c>
      <c r="S139" s="12">
        <v>48.90757297649358</v>
      </c>
    </row>
    <row r="140" spans="12:19">
      <c r="L140" t="s">
        <v>61</v>
      </c>
      <c r="M140" s="15">
        <v>45628</v>
      </c>
      <c r="N140" t="b">
        <v>1</v>
      </c>
      <c r="O140" s="10">
        <v>16950</v>
      </c>
      <c r="P140" s="10">
        <v>339</v>
      </c>
      <c r="Q140" s="10">
        <v>231</v>
      </c>
      <c r="R140" s="12">
        <v>20</v>
      </c>
      <c r="S140" s="12">
        <v>13.6283185840708</v>
      </c>
    </row>
    <row r="141" spans="12:19">
      <c r="L141" t="s">
        <v>61</v>
      </c>
      <c r="M141" s="15">
        <v>45635</v>
      </c>
      <c r="N141" t="b">
        <v>1</v>
      </c>
      <c r="O141" s="10">
        <v>16817</v>
      </c>
      <c r="P141" s="10">
        <v>559</v>
      </c>
      <c r="Q141" s="10">
        <v>144</v>
      </c>
      <c r="R141" s="12">
        <v>33.24017363382292</v>
      </c>
      <c r="S141" s="12">
        <v>8.56276386989356</v>
      </c>
    </row>
    <row r="142" spans="12:19">
      <c r="L142" t="s">
        <v>61</v>
      </c>
      <c r="M142" s="15">
        <v>45642</v>
      </c>
      <c r="N142" t="b">
        <v>1</v>
      </c>
      <c r="O142" s="10">
        <v>16837</v>
      </c>
      <c r="P142" s="10">
        <v>414</v>
      </c>
      <c r="Q142" s="10">
        <v>125</v>
      </c>
      <c r="R142" s="12">
        <v>24.5887034507335</v>
      </c>
      <c r="S142" s="12">
        <v>7.424125438023401</v>
      </c>
    </row>
    <row r="143" spans="12:19">
      <c r="L143" t="s">
        <v>61</v>
      </c>
      <c r="M143" s="15">
        <v>45649</v>
      </c>
      <c r="N143" t="b">
        <v>1</v>
      </c>
      <c r="O143" s="10">
        <v>17293</v>
      </c>
      <c r="P143" s="10">
        <v>511</v>
      </c>
      <c r="Q143" s="10">
        <v>301</v>
      </c>
      <c r="R143" s="12">
        <v>29.54952871103915</v>
      </c>
      <c r="S143" s="12">
        <v>17.40588677499566</v>
      </c>
    </row>
    <row r="144" spans="12:19">
      <c r="L144" t="s">
        <v>61</v>
      </c>
      <c r="M144" s="15">
        <v>45656</v>
      </c>
      <c r="N144" t="b">
        <v>1</v>
      </c>
      <c r="O144" s="10">
        <v>17112</v>
      </c>
      <c r="P144" s="10">
        <v>887</v>
      </c>
      <c r="Q144" s="10">
        <v>1051</v>
      </c>
      <c r="R144" s="12">
        <v>51.83496961196821</v>
      </c>
      <c r="S144" s="12">
        <v>61.41888733052829</v>
      </c>
    </row>
    <row r="145" spans="12:19">
      <c r="L145" t="s">
        <v>61</v>
      </c>
      <c r="M145" s="15">
        <v>45663</v>
      </c>
      <c r="N145" t="b">
        <v>1</v>
      </c>
      <c r="O145" s="10">
        <v>16878</v>
      </c>
      <c r="P145" s="10">
        <v>453</v>
      </c>
      <c r="Q145" s="10">
        <v>252</v>
      </c>
      <c r="R145" s="12">
        <v>26.83967294703164</v>
      </c>
      <c r="S145" s="12">
        <v>14.93067899040171</v>
      </c>
    </row>
    <row r="146" spans="12:19">
      <c r="L146" t="s">
        <v>61</v>
      </c>
      <c r="M146" s="15">
        <v>45670</v>
      </c>
      <c r="N146" t="b">
        <v>1</v>
      </c>
      <c r="O146" s="10">
        <v>16895</v>
      </c>
      <c r="P146" s="10">
        <v>600</v>
      </c>
      <c r="Q146" s="10">
        <v>268</v>
      </c>
      <c r="R146" s="12">
        <v>35.51346552234389</v>
      </c>
      <c r="S146" s="12">
        <v>15.86268126664694</v>
      </c>
    </row>
    <row r="147" spans="12:19">
      <c r="L147" t="s">
        <v>61</v>
      </c>
      <c r="M147" s="15">
        <v>45677</v>
      </c>
      <c r="N147" t="b">
        <v>1</v>
      </c>
      <c r="O147" s="10">
        <v>16882</v>
      </c>
      <c r="P147" s="10">
        <v>579</v>
      </c>
      <c r="Q147" s="10">
        <v>244</v>
      </c>
      <c r="R147" s="12">
        <v>34.29688425541998</v>
      </c>
      <c r="S147" s="12">
        <v>14.45326383129961</v>
      </c>
    </row>
    <row r="148" spans="12:19">
      <c r="L148" t="s">
        <v>61</v>
      </c>
      <c r="M148" s="15">
        <v>45684</v>
      </c>
      <c r="N148" t="b">
        <v>1</v>
      </c>
      <c r="O148" s="10">
        <v>16894</v>
      </c>
      <c r="P148" s="10">
        <v>640</v>
      </c>
      <c r="Q148" s="10">
        <v>310</v>
      </c>
      <c r="R148" s="12">
        <v>37.88327216763348</v>
      </c>
      <c r="S148" s="12">
        <v>18.34970995619747</v>
      </c>
    </row>
    <row r="149" spans="12:19">
      <c r="L149" t="s">
        <v>61</v>
      </c>
      <c r="M149" s="15">
        <v>45691</v>
      </c>
      <c r="N149" t="b">
        <v>0</v>
      </c>
      <c r="O149" s="10">
        <v>16789</v>
      </c>
      <c r="P149" s="10">
        <v>1378</v>
      </c>
      <c r="Q149" s="10">
        <v>469</v>
      </c>
      <c r="R149" s="12">
        <v>82.07755077729466</v>
      </c>
      <c r="S149" s="12">
        <v>27.93495741259158</v>
      </c>
    </row>
    <row r="150" spans="12:19">
      <c r="L150" t="s">
        <v>61</v>
      </c>
      <c r="M150" s="15">
        <v>45698</v>
      </c>
      <c r="N150" t="b">
        <v>0</v>
      </c>
      <c r="O150" s="10">
        <v>16950</v>
      </c>
      <c r="P150" s="10">
        <v>747</v>
      </c>
      <c r="Q150" s="10">
        <v>250</v>
      </c>
      <c r="R150" s="12">
        <v>44.07079646017699</v>
      </c>
      <c r="S150" s="12">
        <v>14.74926253687316</v>
      </c>
    </row>
    <row r="151" spans="12:19">
      <c r="L151" t="s">
        <v>61</v>
      </c>
      <c r="M151" s="15">
        <v>45705</v>
      </c>
      <c r="N151" t="b">
        <v>0</v>
      </c>
      <c r="O151" s="10">
        <v>17465</v>
      </c>
      <c r="P151" s="10">
        <v>730</v>
      </c>
      <c r="Q151" s="10">
        <v>357</v>
      </c>
      <c r="R151" s="12">
        <v>41.7978814772402</v>
      </c>
      <c r="S151" s="12">
        <v>20.44088176352706</v>
      </c>
    </row>
    <row r="152" spans="12:19">
      <c r="L152" t="s">
        <v>61</v>
      </c>
      <c r="M152" s="15">
        <v>45712</v>
      </c>
      <c r="N152" t="b">
        <v>0</v>
      </c>
      <c r="O152" s="10">
        <v>17146</v>
      </c>
      <c r="P152" s="10">
        <v>899</v>
      </c>
      <c r="Q152" s="10">
        <v>771</v>
      </c>
      <c r="R152" s="12">
        <v>52.43205412341071</v>
      </c>
      <c r="S152" s="12">
        <v>44.96675609471597</v>
      </c>
    </row>
    <row r="153" spans="12:19">
      <c r="L153" t="s">
        <v>61</v>
      </c>
      <c r="M153" s="15">
        <v>45719</v>
      </c>
      <c r="N153" t="b">
        <v>0</v>
      </c>
      <c r="O153" s="10">
        <v>17249</v>
      </c>
      <c r="P153" s="10">
        <v>730</v>
      </c>
      <c r="Q153" s="10">
        <v>425</v>
      </c>
      <c r="R153" s="12">
        <v>42.32129398805728</v>
      </c>
      <c r="S153" s="12">
        <v>24.63910951359499</v>
      </c>
    </row>
    <row r="154" spans="12:19">
      <c r="L154" t="s">
        <v>61</v>
      </c>
      <c r="M154" s="15">
        <v>45726</v>
      </c>
      <c r="N154" t="b">
        <v>0</v>
      </c>
      <c r="O154" s="10">
        <v>17155</v>
      </c>
      <c r="P154" s="10">
        <v>610</v>
      </c>
      <c r="Q154" s="10">
        <v>297</v>
      </c>
      <c r="R154" s="12">
        <v>35.55814631302827</v>
      </c>
      <c r="S154" s="12">
        <v>17.31273681142524</v>
      </c>
    </row>
    <row r="155" spans="12:19">
      <c r="L155" t="s">
        <v>61</v>
      </c>
      <c r="M155" s="15">
        <v>45733</v>
      </c>
      <c r="N155" t="b">
        <v>0</v>
      </c>
      <c r="O155" s="10">
        <v>17253</v>
      </c>
      <c r="P155" s="10">
        <v>957</v>
      </c>
      <c r="Q155" s="10">
        <v>951</v>
      </c>
      <c r="R155" s="12">
        <v>55.46861415406016</v>
      </c>
      <c r="S155" s="12">
        <v>55.1208485480786</v>
      </c>
    </row>
    <row r="156" spans="12:19">
      <c r="L156" t="s">
        <v>61</v>
      </c>
      <c r="M156" s="15">
        <v>45740</v>
      </c>
      <c r="N156" t="b">
        <v>0</v>
      </c>
      <c r="O156" s="10">
        <v>17118</v>
      </c>
      <c r="P156" s="10">
        <v>679</v>
      </c>
      <c r="Q156" s="10">
        <v>364</v>
      </c>
      <c r="R156" s="12">
        <v>39.6658488141138</v>
      </c>
      <c r="S156" s="12">
        <v>21.26416637457647</v>
      </c>
    </row>
    <row r="157" spans="12:19">
      <c r="L157" t="s">
        <v>61</v>
      </c>
      <c r="M157" s="15">
        <v>45747</v>
      </c>
      <c r="N157" t="b">
        <v>0</v>
      </c>
      <c r="O157" s="10">
        <v>17137</v>
      </c>
      <c r="P157" s="10">
        <v>452</v>
      </c>
      <c r="Q157" s="10">
        <v>190</v>
      </c>
      <c r="R157" s="12">
        <v>26.3756783567719</v>
      </c>
      <c r="S157" s="12">
        <v>11.08712143315633</v>
      </c>
    </row>
    <row r="158" spans="12:19">
      <c r="L158" t="s">
        <v>61</v>
      </c>
      <c r="M158" s="15">
        <v>45754</v>
      </c>
      <c r="N158" t="b">
        <v>0</v>
      </c>
      <c r="O158" s="10">
        <v>17167</v>
      </c>
      <c r="P158" s="10">
        <v>419</v>
      </c>
      <c r="Q158" s="10">
        <v>361</v>
      </c>
      <c r="R158" s="12">
        <v>24.40729306227064</v>
      </c>
      <c r="S158" s="12">
        <v>21.02871788897303</v>
      </c>
    </row>
    <row r="159" spans="12:19">
      <c r="L159" t="s">
        <v>61</v>
      </c>
      <c r="M159" s="15">
        <v>45761</v>
      </c>
      <c r="N159" t="b">
        <v>0</v>
      </c>
      <c r="O159" s="10">
        <v>17747</v>
      </c>
      <c r="P159" s="10">
        <v>633</v>
      </c>
      <c r="Q159" s="10">
        <v>456</v>
      </c>
      <c r="R159" s="12">
        <v>35.66800022539021</v>
      </c>
      <c r="S159" s="12">
        <v>25.69448357468868</v>
      </c>
    </row>
    <row r="160" spans="12:19">
      <c r="L160" t="s">
        <v>61</v>
      </c>
      <c r="M160" s="15">
        <v>45768</v>
      </c>
      <c r="N160" t="b">
        <v>0</v>
      </c>
      <c r="O160" s="10">
        <v>17511</v>
      </c>
      <c r="P160" s="10">
        <v>1721</v>
      </c>
      <c r="Q160" s="10">
        <v>752</v>
      </c>
      <c r="R160" s="12">
        <v>98.28108046370852</v>
      </c>
      <c r="S160" s="12">
        <v>42.94443492661755</v>
      </c>
    </row>
    <row r="161" spans="12:19">
      <c r="L161" t="s">
        <v>61</v>
      </c>
      <c r="M161" s="15">
        <v>45775</v>
      </c>
      <c r="N161" t="b">
        <v>0</v>
      </c>
      <c r="O161" s="10">
        <v>17288</v>
      </c>
      <c r="P161" s="10">
        <v>465</v>
      </c>
      <c r="Q161" s="10">
        <v>303</v>
      </c>
      <c r="R161" s="12">
        <v>26.8972697825081</v>
      </c>
      <c r="S161" s="12">
        <v>17.52660805182786</v>
      </c>
    </row>
    <row r="162" spans="12:19">
      <c r="L162" t="s">
        <v>61</v>
      </c>
      <c r="M162" s="15">
        <v>45782</v>
      </c>
      <c r="N162" t="b">
        <v>0</v>
      </c>
      <c r="O162" s="10">
        <v>17540</v>
      </c>
      <c r="P162" s="10">
        <v>633</v>
      </c>
      <c r="Q162" s="10">
        <v>327</v>
      </c>
      <c r="R162" s="12">
        <v>36.08893956670467</v>
      </c>
      <c r="S162" s="12">
        <v>18.64310148232612</v>
      </c>
    </row>
    <row r="163" spans="12:19">
      <c r="L163" t="s">
        <v>61</v>
      </c>
      <c r="M163" s="15">
        <v>45789</v>
      </c>
      <c r="N163" t="b">
        <v>0</v>
      </c>
      <c r="O163" s="10">
        <v>16965</v>
      </c>
      <c r="P163" s="10">
        <v>1255</v>
      </c>
      <c r="Q163" s="10">
        <v>770</v>
      </c>
      <c r="R163" s="12">
        <v>73.97583259652225</v>
      </c>
      <c r="S163" s="12">
        <v>45.38756262894194</v>
      </c>
    </row>
    <row r="164" spans="12:19">
      <c r="L164" t="s">
        <v>61</v>
      </c>
      <c r="M164" s="15">
        <v>45796</v>
      </c>
      <c r="N164" t="b">
        <v>0</v>
      </c>
      <c r="O164" s="10">
        <v>16996</v>
      </c>
      <c r="P164" s="10">
        <v>509</v>
      </c>
      <c r="Q164" s="10">
        <v>196</v>
      </c>
      <c r="R164" s="12">
        <v>29.94822311132031</v>
      </c>
      <c r="S164" s="12">
        <v>11.53212520593081</v>
      </c>
    </row>
    <row r="165" spans="12:19">
      <c r="L165" t="s">
        <v>61</v>
      </c>
      <c r="M165" s="15">
        <v>45803</v>
      </c>
      <c r="N165" t="b">
        <v>0</v>
      </c>
      <c r="O165" s="10">
        <v>17041</v>
      </c>
      <c r="P165" s="10">
        <v>425</v>
      </c>
      <c r="Q165" s="10">
        <v>198</v>
      </c>
      <c r="R165" s="12">
        <v>24.93985094771434</v>
      </c>
      <c r="S165" s="12">
        <v>11.61903644152338</v>
      </c>
    </row>
    <row r="166" spans="12:19">
      <c r="L166" t="s">
        <v>61</v>
      </c>
      <c r="M166" s="15">
        <v>45810</v>
      </c>
      <c r="N166" t="b">
        <v>0</v>
      </c>
      <c r="O166" s="10">
        <v>16990</v>
      </c>
      <c r="P166" s="10">
        <v>470</v>
      </c>
      <c r="Q166" s="10">
        <v>146</v>
      </c>
      <c r="R166" s="12">
        <v>27.66333137139494</v>
      </c>
      <c r="S166" s="12">
        <v>8.59329017068864</v>
      </c>
    </row>
    <row r="167" spans="12:19">
      <c r="L167" t="s">
        <v>61</v>
      </c>
      <c r="M167" s="15">
        <v>45817</v>
      </c>
      <c r="N167" t="b">
        <v>0</v>
      </c>
      <c r="O167" s="10">
        <v>16959</v>
      </c>
      <c r="P167" s="10">
        <v>1001</v>
      </c>
      <c r="Q167" s="10">
        <v>844</v>
      </c>
      <c r="R167" s="12">
        <v>59.024706645439</v>
      </c>
      <c r="S167" s="12">
        <v>49.76708532342709</v>
      </c>
    </row>
    <row r="168" spans="12:19">
      <c r="L168" t="s">
        <v>61</v>
      </c>
      <c r="M168" s="15">
        <v>45824</v>
      </c>
      <c r="N168" t="b">
        <v>0</v>
      </c>
      <c r="O168" s="10">
        <v>16966</v>
      </c>
      <c r="P168" s="10">
        <v>394</v>
      </c>
      <c r="Q168" s="10">
        <v>430</v>
      </c>
      <c r="R168" s="12">
        <v>23.22291642107745</v>
      </c>
      <c r="S168" s="12">
        <v>25.34480726158199</v>
      </c>
    </row>
    <row r="169" spans="12:19">
      <c r="L169" t="s">
        <v>61</v>
      </c>
      <c r="M169" s="15">
        <v>45831</v>
      </c>
      <c r="N169" t="b">
        <v>0</v>
      </c>
      <c r="O169" s="10">
        <v>16955</v>
      </c>
      <c r="P169" s="10">
        <v>409</v>
      </c>
      <c r="Q169" s="10">
        <v>175</v>
      </c>
      <c r="R169" s="12">
        <v>24.12267767620171</v>
      </c>
      <c r="S169" s="12">
        <v>10.32143910350929</v>
      </c>
    </row>
    <row r="170" spans="12:19">
      <c r="L170" t="s">
        <v>61</v>
      </c>
      <c r="M170" s="15">
        <v>45838</v>
      </c>
      <c r="N170" t="b">
        <v>0</v>
      </c>
      <c r="O170" s="10">
        <v>16925</v>
      </c>
      <c r="P170" s="10">
        <v>494</v>
      </c>
      <c r="Q170" s="10">
        <v>205</v>
      </c>
      <c r="R170" s="12">
        <v>29.18759231905465</v>
      </c>
      <c r="S170" s="12">
        <v>12.1122599704579</v>
      </c>
    </row>
    <row r="171" spans="12:19">
      <c r="L171" t="s">
        <v>61</v>
      </c>
      <c r="M171" s="15">
        <v>45845</v>
      </c>
      <c r="N171" t="b">
        <v>0</v>
      </c>
      <c r="O171" s="10">
        <v>16881</v>
      </c>
      <c r="P171" s="10">
        <v>1133</v>
      </c>
      <c r="Q171" s="10">
        <v>697</v>
      </c>
      <c r="R171" s="12">
        <v>67.11687696226527</v>
      </c>
      <c r="S171" s="12">
        <v>41.28902316213495</v>
      </c>
    </row>
    <row r="172" spans="12:19">
      <c r="L172" t="s">
        <v>61</v>
      </c>
      <c r="M172" s="15">
        <v>45852</v>
      </c>
      <c r="N172" t="b">
        <v>0</v>
      </c>
      <c r="O172" s="10">
        <v>16852</v>
      </c>
      <c r="P172" s="10">
        <v>392</v>
      </c>
      <c r="Q172" s="10">
        <v>253</v>
      </c>
      <c r="R172" s="12">
        <v>23.2613339662948</v>
      </c>
      <c r="S172" s="12">
        <v>15.01305483028721</v>
      </c>
    </row>
    <row r="173" spans="12:19">
      <c r="L173" t="s">
        <v>61</v>
      </c>
      <c r="M173" s="15">
        <v>45859</v>
      </c>
      <c r="N173" t="b">
        <v>0</v>
      </c>
      <c r="O173" s="10">
        <v>16876</v>
      </c>
      <c r="P173" s="10">
        <v>484</v>
      </c>
      <c r="Q173" s="10">
        <v>228</v>
      </c>
      <c r="R173" s="12">
        <v>28.67978193884807</v>
      </c>
      <c r="S173" s="12">
        <v>13.51031050011851</v>
      </c>
    </row>
    <row r="174" spans="12:19">
      <c r="L174" t="s">
        <v>61</v>
      </c>
      <c r="M174" s="15">
        <v>45866</v>
      </c>
      <c r="N174" t="b">
        <v>0</v>
      </c>
      <c r="O174" s="10">
        <v>16931</v>
      </c>
      <c r="P174" s="10">
        <v>606</v>
      </c>
      <c r="Q174" s="10">
        <v>266</v>
      </c>
      <c r="R174" s="12">
        <v>35.79233358927412</v>
      </c>
      <c r="S174" s="12">
        <v>15.7108262949619</v>
      </c>
    </row>
    <row r="175" spans="12:19">
      <c r="L175" t="s">
        <v>61</v>
      </c>
      <c r="M175" s="15">
        <v>45873</v>
      </c>
      <c r="N175" t="b">
        <v>0</v>
      </c>
      <c r="O175" s="10">
        <v>16823</v>
      </c>
      <c r="P175" s="10">
        <v>1142</v>
      </c>
      <c r="Q175" s="10">
        <v>1233</v>
      </c>
      <c r="R175" s="12">
        <v>67.88325506746716</v>
      </c>
      <c r="S175" s="12">
        <v>73.29251619806217</v>
      </c>
    </row>
    <row r="176" spans="12:19">
      <c r="L176" t="s">
        <v>61</v>
      </c>
      <c r="M176" s="15">
        <v>45894</v>
      </c>
      <c r="N176" t="b">
        <v>0</v>
      </c>
      <c r="O176" s="10">
        <v>82</v>
      </c>
      <c r="P176" s="10">
        <v>0</v>
      </c>
      <c r="Q176" s="10">
        <v>0</v>
      </c>
      <c r="R176" s="12">
        <v>0</v>
      </c>
      <c r="S176" s="12">
        <v>0</v>
      </c>
    </row>
    <row r="177" spans="12:19">
      <c r="L177" t="s">
        <v>61</v>
      </c>
      <c r="M177" s="15">
        <v>45901</v>
      </c>
      <c r="N177" t="b">
        <v>0</v>
      </c>
      <c r="O177" s="10">
        <v>153</v>
      </c>
      <c r="P177" s="10">
        <v>3</v>
      </c>
      <c r="Q177" s="10">
        <v>1</v>
      </c>
      <c r="R177" s="12">
        <v>19.6078431372549</v>
      </c>
      <c r="S177" s="12">
        <v>6.535947712418301</v>
      </c>
    </row>
    <row r="178" spans="12:19">
      <c r="L178" t="s">
        <v>61</v>
      </c>
      <c r="M178" s="15">
        <v>45908</v>
      </c>
      <c r="N178" t="b">
        <v>0</v>
      </c>
      <c r="O178" s="10">
        <v>286</v>
      </c>
      <c r="P178" s="10">
        <v>5</v>
      </c>
      <c r="Q178" s="10">
        <v>2</v>
      </c>
      <c r="R178" s="12">
        <v>17.48251748251748</v>
      </c>
      <c r="S178" s="12">
        <v>6.993006993006993</v>
      </c>
    </row>
    <row r="179" spans="12:19">
      <c r="L179" t="s">
        <v>61</v>
      </c>
      <c r="M179" s="15">
        <v>45915</v>
      </c>
      <c r="N179" t="b">
        <v>0</v>
      </c>
      <c r="O179" s="10">
        <v>33</v>
      </c>
      <c r="P179" s="10">
        <v>4</v>
      </c>
      <c r="Q179" s="10">
        <v>3</v>
      </c>
      <c r="R179" s="12">
        <v>121.2121212121212</v>
      </c>
      <c r="S179" s="12">
        <v>90.90909090909091</v>
      </c>
    </row>
    <row r="180" spans="12:19">
      <c r="L180" t="s">
        <v>61</v>
      </c>
      <c r="M180" s="15">
        <v>45922</v>
      </c>
      <c r="N180" t="b">
        <v>0</v>
      </c>
      <c r="O180" s="10">
        <v>151</v>
      </c>
      <c r="P180" s="10">
        <v>3</v>
      </c>
      <c r="Q180" s="10">
        <v>2</v>
      </c>
      <c r="R180" s="12">
        <v>19.86754966887417</v>
      </c>
      <c r="S180" s="12">
        <v>13.24503311258278</v>
      </c>
    </row>
    <row r="181" spans="12:19">
      <c r="L181" t="s">
        <v>61</v>
      </c>
      <c r="M181" s="15">
        <v>45929</v>
      </c>
      <c r="N181" t="b">
        <v>0</v>
      </c>
      <c r="O181" s="10">
        <v>80</v>
      </c>
      <c r="P181" s="10">
        <v>4</v>
      </c>
      <c r="Q181" s="10">
        <v>2</v>
      </c>
      <c r="R181" s="12">
        <v>50</v>
      </c>
      <c r="S181" s="12">
        <v>25</v>
      </c>
    </row>
    <row r="182" spans="12:19">
      <c r="L182" t="s">
        <v>61</v>
      </c>
      <c r="M182" s="15">
        <v>45936</v>
      </c>
      <c r="N182" t="b">
        <v>0</v>
      </c>
      <c r="O182" s="10">
        <v>99</v>
      </c>
      <c r="P182" s="10">
        <v>2</v>
      </c>
      <c r="Q182" s="10">
        <v>2</v>
      </c>
      <c r="R182" s="12">
        <v>20.2020202020202</v>
      </c>
      <c r="S182" s="12">
        <v>20.2020202020202</v>
      </c>
    </row>
    <row r="183" spans="12:19">
      <c r="L183" t="s">
        <v>61</v>
      </c>
      <c r="M183" s="15">
        <v>45943</v>
      </c>
      <c r="N183" t="b">
        <v>0</v>
      </c>
      <c r="O183" s="10">
        <v>117</v>
      </c>
      <c r="P183" s="10">
        <v>5</v>
      </c>
      <c r="Q183" s="10">
        <v>5</v>
      </c>
      <c r="R183" s="12">
        <v>42.73504273504273</v>
      </c>
      <c r="S183" s="12">
        <v>42.73504273504273</v>
      </c>
    </row>
    <row r="184" spans="12:19">
      <c r="L184" t="s">
        <v>61</v>
      </c>
      <c r="M184" s="15">
        <v>45950</v>
      </c>
      <c r="N184" t="b">
        <v>0</v>
      </c>
      <c r="O184" s="10">
        <v>20010</v>
      </c>
      <c r="P184" s="10">
        <v>439</v>
      </c>
      <c r="Q184" s="10">
        <v>263</v>
      </c>
      <c r="R184" s="12">
        <v>21.93903048475762</v>
      </c>
      <c r="S184" s="12">
        <v>13.14342828585707</v>
      </c>
    </row>
    <row r="185" spans="12:19">
      <c r="L185" t="s">
        <v>61</v>
      </c>
      <c r="M185" s="15">
        <v>45957</v>
      </c>
      <c r="N185" t="b">
        <v>0</v>
      </c>
      <c r="O185" s="10">
        <v>20041</v>
      </c>
      <c r="P185" s="10">
        <v>1025</v>
      </c>
      <c r="Q185" s="10">
        <v>1017</v>
      </c>
      <c r="R185" s="12">
        <v>51.14515243750312</v>
      </c>
      <c r="S185" s="12">
        <v>50.74597075994212</v>
      </c>
    </row>
    <row r="186" spans="12:19">
      <c r="L186" t="s">
        <v>61</v>
      </c>
      <c r="M186" s="15">
        <v>45964</v>
      </c>
      <c r="N186" t="b">
        <v>1</v>
      </c>
      <c r="O186" s="10">
        <v>19981</v>
      </c>
      <c r="P186" s="10">
        <v>502</v>
      </c>
      <c r="Q186" s="10">
        <v>244</v>
      </c>
      <c r="R186" s="12">
        <v>25.12386767429058</v>
      </c>
      <c r="S186" s="12">
        <v>12.21160102096992</v>
      </c>
    </row>
    <row r="187" spans="12:19">
      <c r="L187" t="s">
        <v>61</v>
      </c>
      <c r="M187" s="15">
        <v>45971</v>
      </c>
      <c r="N187" t="b">
        <v>1</v>
      </c>
      <c r="O187" s="10">
        <v>19658</v>
      </c>
      <c r="P187" s="10">
        <v>539</v>
      </c>
      <c r="Q187" s="10">
        <v>370</v>
      </c>
      <c r="R187" s="12">
        <v>27.41886254959813</v>
      </c>
      <c r="S187" s="12">
        <v>18.8218536982399</v>
      </c>
    </row>
    <row r="188" spans="12:19">
      <c r="L188" t="s">
        <v>61</v>
      </c>
      <c r="M188" s="15">
        <v>45978</v>
      </c>
      <c r="N188" t="b">
        <v>1</v>
      </c>
      <c r="O188" s="10">
        <v>20055</v>
      </c>
      <c r="P188" s="10">
        <v>527</v>
      </c>
      <c r="Q188" s="10">
        <v>718</v>
      </c>
      <c r="R188" s="12">
        <v>26.27773622538021</v>
      </c>
      <c r="S188" s="12">
        <v>35.80154574918973</v>
      </c>
    </row>
    <row r="189" spans="12:19">
      <c r="L189" t="s">
        <v>61</v>
      </c>
      <c r="M189" s="15">
        <v>45985</v>
      </c>
      <c r="N189" t="b">
        <v>1</v>
      </c>
      <c r="O189" s="10">
        <v>14163</v>
      </c>
      <c r="P189" s="10">
        <v>394</v>
      </c>
      <c r="Q189" s="10">
        <v>372</v>
      </c>
      <c r="R189" s="12">
        <v>27.81896490856457</v>
      </c>
      <c r="S189" s="12">
        <v>26.26562169031985</v>
      </c>
    </row>
    <row r="190" spans="12:19">
      <c r="L190" t="s">
        <v>61</v>
      </c>
      <c r="M190" s="15">
        <v>45992</v>
      </c>
      <c r="N190" t="b">
        <v>1</v>
      </c>
      <c r="O190" s="10">
        <v>14699</v>
      </c>
      <c r="P190" s="10">
        <v>402</v>
      </c>
      <c r="Q190" s="10">
        <v>387</v>
      </c>
      <c r="R190" s="12">
        <v>27.34879923804341</v>
      </c>
      <c r="S190" s="12">
        <v>26.32832165453432</v>
      </c>
    </row>
    <row r="191" spans="12:19">
      <c r="L191" t="s">
        <v>61</v>
      </c>
      <c r="M191" s="15">
        <v>45999</v>
      </c>
      <c r="N191" t="b">
        <v>1</v>
      </c>
      <c r="O191" s="10">
        <v>20176</v>
      </c>
      <c r="P191" s="10">
        <v>450</v>
      </c>
      <c r="Q191" s="10">
        <v>151</v>
      </c>
      <c r="R191" s="12">
        <v>22.30372720063442</v>
      </c>
      <c r="S191" s="12">
        <v>7.484139571768438</v>
      </c>
    </row>
    <row r="192" spans="12:19">
      <c r="L192" t="s">
        <v>61</v>
      </c>
      <c r="M192" s="15">
        <v>46006</v>
      </c>
      <c r="N192" t="b">
        <v>1</v>
      </c>
      <c r="O192" s="10">
        <v>20205</v>
      </c>
      <c r="P192" s="10">
        <v>452</v>
      </c>
      <c r="Q192" s="10">
        <v>219</v>
      </c>
      <c r="R192" s="12">
        <v>22.37070032170255</v>
      </c>
      <c r="S192" s="12">
        <v>10.83890126206385</v>
      </c>
    </row>
    <row r="193" spans="12:19">
      <c r="L193" t="s">
        <v>61</v>
      </c>
      <c r="M193" s="15">
        <v>46013</v>
      </c>
      <c r="N193" t="b">
        <v>1</v>
      </c>
      <c r="O193" s="10">
        <v>20187</v>
      </c>
      <c r="P193" s="10">
        <v>756</v>
      </c>
      <c r="Q193" s="10">
        <v>165</v>
      </c>
      <c r="R193" s="12">
        <v>37.44984395898351</v>
      </c>
      <c r="S193" s="12">
        <v>8.173577054540051</v>
      </c>
    </row>
    <row r="194" spans="12:19">
      <c r="L194" t="s">
        <v>61</v>
      </c>
      <c r="M194" s="15">
        <v>46020</v>
      </c>
      <c r="N194" t="b">
        <v>1</v>
      </c>
      <c r="O194" s="10">
        <v>20107</v>
      </c>
      <c r="P194" s="10">
        <v>1636</v>
      </c>
      <c r="Q194" s="10">
        <v>1015</v>
      </c>
      <c r="R194" s="12">
        <v>81.36469886109315</v>
      </c>
      <c r="S194" s="12">
        <v>50.47993236186403</v>
      </c>
    </row>
    <row r="195" spans="12:19">
      <c r="L195" t="s">
        <v>61</v>
      </c>
      <c r="M195" s="15">
        <v>46027</v>
      </c>
      <c r="N195" t="b">
        <v>1</v>
      </c>
      <c r="O195" s="10">
        <v>19889</v>
      </c>
      <c r="P195" s="10">
        <v>369</v>
      </c>
      <c r="Q195" s="10">
        <v>378</v>
      </c>
      <c r="R195" s="12">
        <v>18.55296897782694</v>
      </c>
      <c r="S195" s="12">
        <v>19.00548041631052</v>
      </c>
    </row>
    <row r="196" spans="12:19">
      <c r="L196" t="s">
        <v>61</v>
      </c>
      <c r="M196" s="15">
        <v>46034</v>
      </c>
      <c r="N196" t="b">
        <v>1</v>
      </c>
      <c r="O196" s="10">
        <v>19822</v>
      </c>
      <c r="P196" s="10">
        <v>715</v>
      </c>
      <c r="Q196" s="10">
        <v>385</v>
      </c>
      <c r="R196" s="12">
        <v>36.07103218645949</v>
      </c>
      <c r="S196" s="12">
        <v>19.42286348501665</v>
      </c>
    </row>
    <row r="197" spans="12:19">
      <c r="L197" t="s">
        <v>61</v>
      </c>
      <c r="M197" s="15">
        <v>46041</v>
      </c>
      <c r="N197" t="b">
        <v>1</v>
      </c>
      <c r="O197" s="10">
        <v>19515</v>
      </c>
      <c r="P197" s="10">
        <v>421</v>
      </c>
      <c r="Q197" s="10">
        <v>334</v>
      </c>
      <c r="R197" s="12">
        <v>21.5731488598514</v>
      </c>
      <c r="S197" s="12">
        <v>17.11503971304125</v>
      </c>
    </row>
    <row r="198" spans="12:19">
      <c r="L198" t="s">
        <v>61</v>
      </c>
      <c r="M198" s="15">
        <v>46048</v>
      </c>
      <c r="N198" t="b">
        <v>1</v>
      </c>
      <c r="O198" s="10">
        <v>19853</v>
      </c>
      <c r="P198" s="10">
        <v>1135</v>
      </c>
      <c r="Q198" s="10">
        <v>1053</v>
      </c>
      <c r="R198" s="12">
        <v>57.17020097718229</v>
      </c>
      <c r="S198" s="12">
        <v>53.03984284491009</v>
      </c>
    </row>
    <row r="199" spans="12:19">
      <c r="L199" t="s">
        <v>61</v>
      </c>
      <c r="M199" s="15">
        <v>46055</v>
      </c>
      <c r="N199" t="b">
        <v>1</v>
      </c>
      <c r="O199" s="10">
        <v>19679</v>
      </c>
      <c r="P199" s="10">
        <v>649</v>
      </c>
      <c r="Q199" s="10">
        <v>207</v>
      </c>
      <c r="R199" s="12">
        <v>32.97931805477921</v>
      </c>
      <c r="S199" s="12">
        <v>10.51882717617765</v>
      </c>
    </row>
    <row r="200" spans="12:19">
      <c r="L200" t="s">
        <v>61</v>
      </c>
      <c r="M200" s="15">
        <v>46062</v>
      </c>
      <c r="N200" t="b">
        <v>0</v>
      </c>
      <c r="O200" s="10">
        <v>20782</v>
      </c>
      <c r="P200" s="10">
        <v>899</v>
      </c>
      <c r="Q200" s="10">
        <v>293</v>
      </c>
      <c r="R200" s="12">
        <v>43.25858916369936</v>
      </c>
      <c r="S200" s="12">
        <v>14.09873929361948</v>
      </c>
    </row>
    <row r="201" spans="12:19">
      <c r="L201" t="s">
        <v>61</v>
      </c>
      <c r="M201" s="15">
        <v>46069</v>
      </c>
      <c r="N201" t="b">
        <v>0</v>
      </c>
      <c r="O201" s="10">
        <v>20310</v>
      </c>
      <c r="P201" s="10">
        <v>472</v>
      </c>
      <c r="Q201" s="10">
        <v>267</v>
      </c>
      <c r="R201" s="12">
        <v>23.23978335795175</v>
      </c>
      <c r="S201" s="12">
        <v>13.14623338257016</v>
      </c>
    </row>
    <row r="202" spans="12:19">
      <c r="L202" t="s">
        <v>61</v>
      </c>
      <c r="M202" s="15">
        <v>46076</v>
      </c>
      <c r="N202" t="b">
        <v>0</v>
      </c>
      <c r="O202" s="10">
        <v>20322</v>
      </c>
      <c r="P202" s="10">
        <v>1433</v>
      </c>
      <c r="Q202" s="10">
        <v>1119</v>
      </c>
      <c r="R202" s="12">
        <v>70.51471311878753</v>
      </c>
      <c r="S202" s="12">
        <v>55.06347800413345</v>
      </c>
    </row>
    <row r="203" spans="12:19">
      <c r="L203" t="s">
        <v>61</v>
      </c>
      <c r="M203" s="15">
        <v>46083</v>
      </c>
      <c r="N203" t="b">
        <v>0</v>
      </c>
      <c r="O203" s="10">
        <v>20766</v>
      </c>
      <c r="P203" s="10">
        <v>895</v>
      </c>
      <c r="Q203" s="10">
        <v>463</v>
      </c>
      <c r="R203" s="12">
        <v>43.09929692767023</v>
      </c>
      <c r="S203" s="12">
        <v>22.29606086872773</v>
      </c>
    </row>
    <row r="204" spans="12:19">
      <c r="L204" t="s">
        <v>61</v>
      </c>
      <c r="M204" s="15">
        <v>46090</v>
      </c>
      <c r="N204" t="b">
        <v>0</v>
      </c>
      <c r="O204" s="10">
        <v>20353</v>
      </c>
      <c r="P204" s="10">
        <v>585</v>
      </c>
      <c r="Q204" s="10">
        <v>392</v>
      </c>
      <c r="R204" s="12">
        <v>28.74269149511128</v>
      </c>
      <c r="S204" s="12">
        <v>19.26005994202329</v>
      </c>
    </row>
    <row r="205" spans="12:19">
      <c r="L205" t="s">
        <v>61</v>
      </c>
      <c r="M205" s="15">
        <v>46097</v>
      </c>
      <c r="N205" t="b">
        <v>0</v>
      </c>
      <c r="O205" s="10">
        <v>20389</v>
      </c>
      <c r="P205" s="10">
        <v>739</v>
      </c>
      <c r="Q205" s="10">
        <v>821</v>
      </c>
      <c r="R205" s="12">
        <v>36.2450340870077</v>
      </c>
      <c r="S205" s="12">
        <v>40.26681053509245</v>
      </c>
    </row>
    <row r="206" spans="12:19">
      <c r="L206" t="s">
        <v>61</v>
      </c>
      <c r="M206" s="15">
        <v>46104</v>
      </c>
      <c r="N206" t="b">
        <v>0</v>
      </c>
      <c r="O206" s="10">
        <v>19866</v>
      </c>
      <c r="P206" s="10">
        <v>786</v>
      </c>
      <c r="Q206" s="10">
        <v>519</v>
      </c>
      <c r="R206" s="12">
        <v>39.56508607671398</v>
      </c>
      <c r="S206" s="12">
        <v>26.12503775294473</v>
      </c>
    </row>
    <row r="207" spans="12:19">
      <c r="L207" t="s">
        <v>61</v>
      </c>
      <c r="M207" s="15">
        <v>46111</v>
      </c>
      <c r="N207" t="b">
        <v>0</v>
      </c>
      <c r="O207" s="10">
        <v>20003</v>
      </c>
      <c r="P207" s="10">
        <v>314</v>
      </c>
      <c r="Q207" s="10">
        <v>249</v>
      </c>
      <c r="R207" s="12">
        <v>15.69764535319702</v>
      </c>
      <c r="S207" s="12">
        <v>12.44813278008299</v>
      </c>
    </row>
    <row r="208" spans="12:19">
      <c r="L208" t="s">
        <v>61</v>
      </c>
      <c r="M208" s="15">
        <v>46118</v>
      </c>
      <c r="N208" t="b">
        <v>0</v>
      </c>
      <c r="O208" s="10">
        <v>19177</v>
      </c>
      <c r="P208" s="10">
        <v>838</v>
      </c>
      <c r="Q208" s="10">
        <v>602</v>
      </c>
      <c r="R208" s="12">
        <v>43.69818011159201</v>
      </c>
      <c r="S208" s="12">
        <v>31.39177139281431</v>
      </c>
    </row>
    <row r="209" spans="12:19">
      <c r="L209" t="s">
        <v>61</v>
      </c>
      <c r="M209" s="15">
        <v>46125</v>
      </c>
      <c r="N209" t="b">
        <v>0</v>
      </c>
      <c r="O209" s="10">
        <v>18219</v>
      </c>
      <c r="P209" s="10">
        <v>282</v>
      </c>
      <c r="Q209" s="10">
        <v>287</v>
      </c>
      <c r="R209" s="12">
        <v>15.4783467808332</v>
      </c>
      <c r="S209" s="12">
        <v>15.752785553543</v>
      </c>
    </row>
    <row r="210" spans="12:19">
      <c r="L210" t="s">
        <v>61</v>
      </c>
      <c r="M210" s="15">
        <v>46132</v>
      </c>
      <c r="N210" t="b">
        <v>0</v>
      </c>
      <c r="O210" s="10">
        <v>20372</v>
      </c>
      <c r="P210" s="10">
        <v>768</v>
      </c>
      <c r="Q210" s="10">
        <v>665</v>
      </c>
      <c r="R210" s="12">
        <v>37.69880227763597</v>
      </c>
      <c r="S210" s="12">
        <v>32.6428431180051</v>
      </c>
    </row>
    <row r="211" spans="12:19">
      <c r="L211" t="s">
        <v>61</v>
      </c>
      <c r="M211" s="15">
        <v>46139</v>
      </c>
      <c r="N211" t="b">
        <v>0</v>
      </c>
      <c r="O211" s="10">
        <v>20332</v>
      </c>
      <c r="P211" s="10">
        <v>531</v>
      </c>
      <c r="Q211" s="10">
        <v>365</v>
      </c>
      <c r="R211" s="12">
        <v>26.11646665355105</v>
      </c>
      <c r="S211" s="12">
        <v>17.95199685225261</v>
      </c>
    </row>
    <row r="212" spans="12:19">
      <c r="L212" t="s">
        <v>61</v>
      </c>
      <c r="M212" s="15">
        <v>46146</v>
      </c>
      <c r="N212" t="b">
        <v>0</v>
      </c>
      <c r="O212" s="10">
        <v>20388</v>
      </c>
      <c r="P212" s="10">
        <v>556</v>
      </c>
      <c r="Q212" s="10">
        <v>197</v>
      </c>
      <c r="R212" s="12">
        <v>27.27094369236806</v>
      </c>
      <c r="S212" s="12">
        <v>9.662546596036885</v>
      </c>
    </row>
    <row r="213" spans="12:19">
      <c r="L213" t="s">
        <v>61</v>
      </c>
      <c r="M213" s="15">
        <v>46153</v>
      </c>
      <c r="N213" t="b">
        <v>0</v>
      </c>
      <c r="O213" s="10">
        <v>20257</v>
      </c>
      <c r="P213" s="10">
        <v>1210</v>
      </c>
      <c r="Q213" s="10">
        <v>619</v>
      </c>
      <c r="R213" s="12">
        <v>59.73243816952165</v>
      </c>
      <c r="S213" s="12">
        <v>30.5573382040776</v>
      </c>
    </row>
    <row r="214" spans="12:19">
      <c r="L214" t="s">
        <v>61</v>
      </c>
      <c r="M214" s="15">
        <v>46160</v>
      </c>
      <c r="N214" t="b">
        <v>0</v>
      </c>
      <c r="O214" s="10">
        <v>19776</v>
      </c>
      <c r="P214" s="10">
        <v>1021</v>
      </c>
      <c r="Q214" s="10">
        <v>682</v>
      </c>
      <c r="R214" s="12">
        <v>51.6282362459547</v>
      </c>
      <c r="S214" s="12">
        <v>34.48624595469256</v>
      </c>
    </row>
    <row r="215" spans="12:19">
      <c r="L215" t="s">
        <v>61</v>
      </c>
      <c r="M215" s="15">
        <v>46167</v>
      </c>
      <c r="N215" t="b">
        <v>0</v>
      </c>
      <c r="O215" s="10">
        <v>19700</v>
      </c>
      <c r="P215" s="10">
        <v>573</v>
      </c>
      <c r="Q215" s="10">
        <v>524</v>
      </c>
      <c r="R215" s="12">
        <v>29.08629441624365</v>
      </c>
      <c r="S215" s="12">
        <v>26.5989847715736</v>
      </c>
    </row>
    <row r="216" spans="12:19">
      <c r="L216" t="s">
        <v>61</v>
      </c>
      <c r="M216" s="15">
        <v>46174</v>
      </c>
      <c r="N216" t="b">
        <v>0</v>
      </c>
      <c r="O216" s="10">
        <v>20233</v>
      </c>
      <c r="P216" s="10">
        <v>295</v>
      </c>
      <c r="Q216" s="10">
        <v>236</v>
      </c>
      <c r="R216" s="12">
        <v>14.58014135323482</v>
      </c>
      <c r="S216" s="12">
        <v>11.66411308258785</v>
      </c>
    </row>
    <row r="217" spans="12:19">
      <c r="L217" t="s">
        <v>61</v>
      </c>
      <c r="M217" s="15">
        <v>46181</v>
      </c>
      <c r="N217" t="b">
        <v>0</v>
      </c>
      <c r="O217" s="10">
        <v>19727</v>
      </c>
      <c r="P217" s="10">
        <v>484</v>
      </c>
      <c r="Q217" s="10">
        <v>538</v>
      </c>
      <c r="R217" s="12">
        <v>24.53490140416688</v>
      </c>
      <c r="S217" s="12">
        <v>27.27226643686318</v>
      </c>
    </row>
    <row r="218" spans="12:19">
      <c r="L218" t="s">
        <v>61</v>
      </c>
      <c r="M218" s="15">
        <v>46188</v>
      </c>
      <c r="N218" t="b">
        <v>0</v>
      </c>
      <c r="O218" s="10">
        <v>19206</v>
      </c>
      <c r="P218" s="10">
        <v>147</v>
      </c>
      <c r="Q218" s="10">
        <v>109</v>
      </c>
      <c r="R218" s="12">
        <v>7.653858169322087</v>
      </c>
      <c r="S218" s="12">
        <v>5.675309799021139</v>
      </c>
    </row>
    <row r="219" spans="12:19">
      <c r="L219" t="s">
        <v>61</v>
      </c>
      <c r="M219" s="15">
        <v>46195</v>
      </c>
      <c r="N219" t="b">
        <v>0</v>
      </c>
      <c r="O219" s="10">
        <v>19760</v>
      </c>
      <c r="P219" s="10">
        <v>684</v>
      </c>
      <c r="Q219" s="10">
        <v>460</v>
      </c>
      <c r="R219" s="12">
        <v>34.61538461538461</v>
      </c>
      <c r="S219" s="12">
        <v>23.27935222672065</v>
      </c>
    </row>
    <row r="220" spans="12:19">
      <c r="L220" t="s">
        <v>61</v>
      </c>
      <c r="M220" s="15">
        <v>46202</v>
      </c>
      <c r="N220" t="b">
        <v>0</v>
      </c>
      <c r="O220" s="10">
        <v>19921</v>
      </c>
      <c r="P220" s="10">
        <v>484</v>
      </c>
      <c r="Q220" s="10">
        <v>179</v>
      </c>
      <c r="R220" s="12">
        <v>24.29596907785754</v>
      </c>
      <c r="S220" s="12">
        <v>8.985492696149791</v>
      </c>
    </row>
    <row r="221" spans="12:19">
      <c r="L221" t="s">
        <v>61</v>
      </c>
      <c r="M221" s="15">
        <v>46209</v>
      </c>
      <c r="N221" t="b">
        <v>0</v>
      </c>
      <c r="O221" s="10">
        <v>19727</v>
      </c>
      <c r="P221" s="10">
        <v>415</v>
      </c>
      <c r="Q221" s="10">
        <v>180</v>
      </c>
      <c r="R221" s="12">
        <v>21.0371571957216</v>
      </c>
      <c r="S221" s="12">
        <v>9.124550108987682</v>
      </c>
    </row>
    <row r="222" spans="12:19">
      <c r="L222" t="s">
        <v>61</v>
      </c>
      <c r="M222" s="15">
        <v>46216</v>
      </c>
      <c r="N222" t="b">
        <v>0</v>
      </c>
      <c r="O222" s="10">
        <v>19791</v>
      </c>
      <c r="P222" s="10">
        <v>1096</v>
      </c>
      <c r="Q222" s="10">
        <v>1023</v>
      </c>
      <c r="R222" s="12">
        <v>55.37870749330504</v>
      </c>
      <c r="S222" s="12">
        <v>51.69016219493709</v>
      </c>
    </row>
    <row r="223" spans="12:19">
      <c r="L223" t="s">
        <v>61</v>
      </c>
      <c r="M223" s="15">
        <v>46223</v>
      </c>
      <c r="N223" t="b">
        <v>0</v>
      </c>
      <c r="O223" s="10">
        <v>19710</v>
      </c>
      <c r="P223" s="10">
        <v>348</v>
      </c>
      <c r="Q223" s="10">
        <v>230</v>
      </c>
      <c r="R223" s="12">
        <v>17.65601217656012</v>
      </c>
      <c r="S223" s="12">
        <v>11.66920345002537</v>
      </c>
    </row>
    <row r="224" spans="12:19">
      <c r="L224" t="s">
        <v>61</v>
      </c>
      <c r="M224" s="15">
        <v>46230</v>
      </c>
      <c r="N224" t="b">
        <v>0</v>
      </c>
      <c r="O224" s="10">
        <v>19902</v>
      </c>
      <c r="P224" s="10">
        <v>446</v>
      </c>
      <c r="Q224" s="10">
        <v>238</v>
      </c>
      <c r="R224" s="12">
        <v>22.40980805949151</v>
      </c>
      <c r="S224" s="12">
        <v>11.95859712591699</v>
      </c>
    </row>
    <row r="225" spans="12:19">
      <c r="L225" t="s">
        <v>61</v>
      </c>
      <c r="M225" s="15">
        <v>46237</v>
      </c>
      <c r="N225" t="b">
        <v>0</v>
      </c>
      <c r="O225" s="10">
        <v>19837</v>
      </c>
      <c r="P225" s="10">
        <v>702</v>
      </c>
      <c r="Q225" s="10">
        <v>482</v>
      </c>
      <c r="R225" s="12">
        <v>35.38841558703433</v>
      </c>
      <c r="S225" s="12">
        <v>24.29802893582699</v>
      </c>
    </row>
    <row r="226" spans="12:19">
      <c r="L226" t="s">
        <v>61</v>
      </c>
      <c r="M226" s="15">
        <v>46244</v>
      </c>
      <c r="N226" t="b">
        <v>0</v>
      </c>
      <c r="O226" s="10">
        <v>19694</v>
      </c>
      <c r="P226" s="10">
        <v>614</v>
      </c>
      <c r="Q226" s="10">
        <v>563</v>
      </c>
      <c r="R226" s="12">
        <v>31.17700822585559</v>
      </c>
      <c r="S226" s="12">
        <v>28.58738702142785</v>
      </c>
    </row>
    <row r="227" spans="12:19">
      <c r="L227" t="s">
        <v>61</v>
      </c>
      <c r="M227" s="15">
        <v>46251</v>
      </c>
      <c r="N227" t="b">
        <v>0</v>
      </c>
      <c r="O227" s="10">
        <v>19703</v>
      </c>
      <c r="P227" s="10">
        <v>328</v>
      </c>
      <c r="Q227" s="10">
        <v>360</v>
      </c>
      <c r="R227" s="12">
        <v>16.6472110846064</v>
      </c>
      <c r="S227" s="12">
        <v>18.27132923920216</v>
      </c>
    </row>
    <row r="228" spans="12:19">
      <c r="L228" t="s">
        <v>61</v>
      </c>
      <c r="M228" s="15">
        <v>46258</v>
      </c>
      <c r="N228" t="b">
        <v>0</v>
      </c>
      <c r="O228" s="10">
        <v>19785</v>
      </c>
      <c r="P228" s="10">
        <v>307</v>
      </c>
      <c r="Q228" s="10">
        <v>824</v>
      </c>
      <c r="R228" s="12">
        <v>15.51680566085418</v>
      </c>
      <c r="S228" s="12">
        <v>41.6477129138236</v>
      </c>
    </row>
    <row r="229" spans="12:19">
      <c r="L229" t="s">
        <v>61</v>
      </c>
      <c r="M229" s="15">
        <v>46265</v>
      </c>
      <c r="N229" t="b">
        <v>0</v>
      </c>
      <c r="O229" s="10">
        <v>19832</v>
      </c>
      <c r="P229" s="10">
        <v>673</v>
      </c>
      <c r="Q229" s="10">
        <v>311</v>
      </c>
      <c r="R229" s="12">
        <v>33.93505445744252</v>
      </c>
      <c r="S229" s="12">
        <v>15.68172650262202</v>
      </c>
    </row>
    <row r="230" spans="12:19">
      <c r="L230" t="s">
        <v>61</v>
      </c>
      <c r="M230" s="15">
        <v>46272</v>
      </c>
      <c r="N230" t="b">
        <v>0</v>
      </c>
      <c r="O230" s="10">
        <v>19810</v>
      </c>
      <c r="P230" s="10">
        <v>1021</v>
      </c>
      <c r="Q230" s="10">
        <v>691</v>
      </c>
      <c r="R230" s="12">
        <v>51.53962645128723</v>
      </c>
      <c r="S230" s="12">
        <v>34.88137304391721</v>
      </c>
    </row>
    <row r="231" spans="12:19">
      <c r="L231" t="s">
        <v>61</v>
      </c>
      <c r="M231" s="15">
        <v>46279</v>
      </c>
      <c r="N231" t="b">
        <v>0</v>
      </c>
      <c r="O231" s="10">
        <v>19718</v>
      </c>
      <c r="P231" s="10">
        <v>235</v>
      </c>
      <c r="Q231" s="10">
        <v>158</v>
      </c>
      <c r="R231" s="12">
        <v>11.91804442641242</v>
      </c>
      <c r="S231" s="12">
        <v>8.012983061162389</v>
      </c>
    </row>
    <row r="232" spans="12:19">
      <c r="L232" t="s">
        <v>61</v>
      </c>
      <c r="M232" s="15">
        <v>46286</v>
      </c>
      <c r="N232" t="b">
        <v>0</v>
      </c>
      <c r="O232" s="10">
        <v>19895</v>
      </c>
      <c r="P232" s="10">
        <v>856</v>
      </c>
      <c r="Q232" s="10">
        <v>594</v>
      </c>
      <c r="R232" s="12">
        <v>43.02588590098014</v>
      </c>
      <c r="S232" s="12">
        <v>29.85674792661473</v>
      </c>
    </row>
    <row r="233" spans="12:19">
      <c r="L233" t="s">
        <v>61</v>
      </c>
      <c r="M233" s="15">
        <v>46293</v>
      </c>
      <c r="N233" t="b">
        <v>0</v>
      </c>
      <c r="O233" s="10">
        <v>19837</v>
      </c>
      <c r="P233" s="10">
        <v>539</v>
      </c>
      <c r="Q233" s="10">
        <v>452</v>
      </c>
      <c r="R233" s="12">
        <v>27.17144729545798</v>
      </c>
      <c r="S233" s="12">
        <v>22.78570348338963</v>
      </c>
    </row>
    <row r="234" spans="12:19">
      <c r="L234" t="s">
        <v>61</v>
      </c>
      <c r="M234" s="15">
        <v>46300</v>
      </c>
      <c r="N234" t="b">
        <v>0</v>
      </c>
      <c r="O234" s="10">
        <v>19843</v>
      </c>
      <c r="P234" s="10">
        <v>1128</v>
      </c>
      <c r="Q234" s="10">
        <v>1168</v>
      </c>
      <c r="R234" s="12">
        <v>56.84624300760974</v>
      </c>
      <c r="S234" s="12">
        <v>58.86206722773774</v>
      </c>
    </row>
    <row r="235" spans="12:19">
      <c r="L235" t="s">
        <v>73</v>
      </c>
      <c r="M235" s="15">
        <v>45488</v>
      </c>
      <c r="N235" t="b">
        <v>0</v>
      </c>
      <c r="O235" s="10">
        <v>11834</v>
      </c>
      <c r="P235" s="10">
        <v>63</v>
      </c>
      <c r="Q235" s="10">
        <v>51</v>
      </c>
      <c r="R235" s="12">
        <v>5.323643738380937</v>
      </c>
      <c r="S235" s="12">
        <v>4.30961635964171</v>
      </c>
    </row>
    <row r="236" spans="12:19">
      <c r="L236" t="s">
        <v>73</v>
      </c>
      <c r="M236" s="15">
        <v>45495</v>
      </c>
      <c r="N236" t="b">
        <v>0</v>
      </c>
      <c r="O236" s="10">
        <v>11852</v>
      </c>
      <c r="P236" s="10">
        <v>83</v>
      </c>
      <c r="Q236" s="10">
        <v>27</v>
      </c>
      <c r="R236" s="12">
        <v>7.003037462031725</v>
      </c>
      <c r="S236" s="12">
        <v>2.278096523793453</v>
      </c>
    </row>
    <row r="237" spans="12:19">
      <c r="L237" t="s">
        <v>73</v>
      </c>
      <c r="M237" s="15">
        <v>45502</v>
      </c>
      <c r="N237" t="b">
        <v>0</v>
      </c>
      <c r="O237" s="10">
        <v>15009</v>
      </c>
      <c r="P237" s="10">
        <v>726</v>
      </c>
      <c r="Q237" s="10">
        <v>1181</v>
      </c>
      <c r="R237" s="12">
        <v>48.37097741355187</v>
      </c>
      <c r="S237" s="12">
        <v>78.68612166033714</v>
      </c>
    </row>
    <row r="238" spans="12:19">
      <c r="L238" t="s">
        <v>73</v>
      </c>
      <c r="M238" s="15">
        <v>45509</v>
      </c>
      <c r="N238" t="b">
        <v>0</v>
      </c>
      <c r="O238" s="10">
        <v>11785</v>
      </c>
      <c r="P238" s="10">
        <v>104</v>
      </c>
      <c r="Q238" s="10">
        <v>114</v>
      </c>
      <c r="R238" s="12">
        <v>8.824777259227831</v>
      </c>
      <c r="S238" s="12">
        <v>9.673313534153586</v>
      </c>
    </row>
    <row r="239" spans="12:19">
      <c r="L239" t="s">
        <v>73</v>
      </c>
      <c r="M239" s="15">
        <v>45516</v>
      </c>
      <c r="N239" t="b">
        <v>0</v>
      </c>
      <c r="O239" s="10">
        <v>11674</v>
      </c>
      <c r="P239" s="10">
        <v>87</v>
      </c>
      <c r="Q239" s="10">
        <v>79</v>
      </c>
      <c r="R239" s="12">
        <v>7.452458454685626</v>
      </c>
      <c r="S239" s="12">
        <v>6.76717491862258</v>
      </c>
    </row>
    <row r="240" spans="12:19">
      <c r="L240" t="s">
        <v>73</v>
      </c>
      <c r="M240" s="15">
        <v>45523</v>
      </c>
      <c r="N240" t="b">
        <v>0</v>
      </c>
      <c r="O240" s="10">
        <v>11716</v>
      </c>
      <c r="P240" s="10">
        <v>61</v>
      </c>
      <c r="Q240" s="10">
        <v>93</v>
      </c>
      <c r="R240" s="12">
        <v>5.206555138272448</v>
      </c>
      <c r="S240" s="12">
        <v>7.93786275179242</v>
      </c>
    </row>
    <row r="241" spans="12:19">
      <c r="L241" t="s">
        <v>73</v>
      </c>
      <c r="M241" s="15">
        <v>45530</v>
      </c>
      <c r="N241" t="b">
        <v>0</v>
      </c>
      <c r="O241" s="10">
        <v>11651</v>
      </c>
      <c r="P241" s="10">
        <v>95</v>
      </c>
      <c r="Q241" s="10">
        <v>47</v>
      </c>
      <c r="R241" s="12">
        <v>8.153806540211141</v>
      </c>
      <c r="S241" s="12">
        <v>4.033988498841302</v>
      </c>
    </row>
    <row r="242" spans="12:19">
      <c r="L242" t="s">
        <v>73</v>
      </c>
      <c r="M242" s="15">
        <v>45537</v>
      </c>
      <c r="N242" t="b">
        <v>0</v>
      </c>
      <c r="O242" s="10">
        <v>14054</v>
      </c>
      <c r="P242" s="10">
        <v>171</v>
      </c>
      <c r="Q242" s="10">
        <v>175</v>
      </c>
      <c r="R242" s="12">
        <v>12.16735448982496</v>
      </c>
      <c r="S242" s="12">
        <v>12.45197096911911</v>
      </c>
    </row>
    <row r="243" spans="12:19">
      <c r="L243" t="s">
        <v>73</v>
      </c>
      <c r="M243" s="15">
        <v>45544</v>
      </c>
      <c r="N243" t="b">
        <v>0</v>
      </c>
      <c r="O243" s="10">
        <v>14133</v>
      </c>
      <c r="P243" s="10">
        <v>72</v>
      </c>
      <c r="Q243" s="10">
        <v>17</v>
      </c>
      <c r="R243" s="12">
        <v>5.094459774994693</v>
      </c>
      <c r="S243" s="12">
        <v>1.202858557984858</v>
      </c>
    </row>
    <row r="244" spans="12:19">
      <c r="L244" t="s">
        <v>73</v>
      </c>
      <c r="M244" s="15">
        <v>45551</v>
      </c>
      <c r="N244" t="b">
        <v>0</v>
      </c>
      <c r="O244" s="10">
        <v>13089</v>
      </c>
      <c r="P244" s="10">
        <v>154</v>
      </c>
      <c r="Q244" s="10">
        <v>104</v>
      </c>
      <c r="R244" s="12">
        <v>11.76560470624188</v>
      </c>
      <c r="S244" s="12">
        <v>7.945603178241272</v>
      </c>
    </row>
    <row r="245" spans="12:19">
      <c r="L245" t="s">
        <v>73</v>
      </c>
      <c r="M245" s="15">
        <v>45558</v>
      </c>
      <c r="N245" t="b">
        <v>0</v>
      </c>
      <c r="O245" s="10">
        <v>13172</v>
      </c>
      <c r="P245" s="10">
        <v>141</v>
      </c>
      <c r="Q245" s="10">
        <v>75</v>
      </c>
      <c r="R245" s="12">
        <v>10.70452474946857</v>
      </c>
      <c r="S245" s="12">
        <v>5.693896143334346</v>
      </c>
    </row>
    <row r="246" spans="12:19">
      <c r="L246" t="s">
        <v>73</v>
      </c>
      <c r="M246" s="15">
        <v>45565</v>
      </c>
      <c r="N246" t="b">
        <v>0</v>
      </c>
      <c r="O246" s="10">
        <v>12188</v>
      </c>
      <c r="P246" s="10">
        <v>118</v>
      </c>
      <c r="Q246" s="10">
        <v>63</v>
      </c>
      <c r="R246" s="12">
        <v>9.681654085986215</v>
      </c>
      <c r="S246" s="12">
        <v>5.169018706924844</v>
      </c>
    </row>
    <row r="247" spans="12:19">
      <c r="L247" t="s">
        <v>73</v>
      </c>
      <c r="M247" s="15">
        <v>45572</v>
      </c>
      <c r="N247" t="b">
        <v>0</v>
      </c>
      <c r="O247" s="10">
        <v>12098</v>
      </c>
      <c r="P247" s="10">
        <v>111</v>
      </c>
      <c r="Q247" s="10">
        <v>44</v>
      </c>
      <c r="R247" s="12">
        <v>9.175070259547033</v>
      </c>
      <c r="S247" s="12">
        <v>3.636964787568193</v>
      </c>
    </row>
    <row r="248" spans="12:19">
      <c r="L248" t="s">
        <v>73</v>
      </c>
      <c r="M248" s="15">
        <v>45579</v>
      </c>
      <c r="N248" t="b">
        <v>0</v>
      </c>
      <c r="O248" s="10">
        <v>13382</v>
      </c>
      <c r="P248" s="10">
        <v>127</v>
      </c>
      <c r="Q248" s="10">
        <v>63</v>
      </c>
      <c r="R248" s="12">
        <v>9.490360185323569</v>
      </c>
      <c r="S248" s="12">
        <v>4.70781646988492</v>
      </c>
    </row>
    <row r="249" spans="12:19">
      <c r="L249" t="s">
        <v>73</v>
      </c>
      <c r="M249" s="15">
        <v>45586</v>
      </c>
      <c r="N249" t="b">
        <v>0</v>
      </c>
      <c r="O249" s="10">
        <v>13087</v>
      </c>
      <c r="P249" s="10">
        <v>160</v>
      </c>
      <c r="Q249" s="10">
        <v>80</v>
      </c>
      <c r="R249" s="12">
        <v>12.22587300374417</v>
      </c>
      <c r="S249" s="12">
        <v>6.112936501872087</v>
      </c>
    </row>
    <row r="250" spans="12:19">
      <c r="L250" t="s">
        <v>73</v>
      </c>
      <c r="M250" s="15">
        <v>45593</v>
      </c>
      <c r="N250" t="b">
        <v>0</v>
      </c>
      <c r="O250" s="10">
        <v>11269</v>
      </c>
      <c r="P250" s="10">
        <v>170</v>
      </c>
      <c r="Q250" s="10">
        <v>145</v>
      </c>
      <c r="R250" s="12">
        <v>15.08563315289733</v>
      </c>
      <c r="S250" s="12">
        <v>12.86715768923596</v>
      </c>
    </row>
    <row r="251" spans="12:19">
      <c r="L251" t="s">
        <v>73</v>
      </c>
      <c r="M251" s="15">
        <v>45600</v>
      </c>
      <c r="N251" t="b">
        <v>1</v>
      </c>
      <c r="O251" s="10">
        <v>11190</v>
      </c>
      <c r="P251" s="10">
        <v>94</v>
      </c>
      <c r="Q251" s="10">
        <v>60</v>
      </c>
      <c r="R251" s="12">
        <v>8.400357462019661</v>
      </c>
      <c r="S251" s="12">
        <v>5.361930294906166</v>
      </c>
    </row>
    <row r="252" spans="12:19">
      <c r="L252" t="s">
        <v>73</v>
      </c>
      <c r="M252" s="15">
        <v>45607</v>
      </c>
      <c r="N252" t="b">
        <v>1</v>
      </c>
      <c r="O252" s="10">
        <v>11350</v>
      </c>
      <c r="P252" s="10">
        <v>82</v>
      </c>
      <c r="Q252" s="10">
        <v>67</v>
      </c>
      <c r="R252" s="12">
        <v>7.224669603524229</v>
      </c>
      <c r="S252" s="12">
        <v>5.903083700440528</v>
      </c>
    </row>
    <row r="253" spans="12:19">
      <c r="L253" t="s">
        <v>73</v>
      </c>
      <c r="M253" s="15">
        <v>45614</v>
      </c>
      <c r="N253" t="b">
        <v>1</v>
      </c>
      <c r="O253" s="10">
        <v>11631</v>
      </c>
      <c r="P253" s="10">
        <v>103</v>
      </c>
      <c r="Q253" s="10">
        <v>66</v>
      </c>
      <c r="R253" s="12">
        <v>8.855644398589975</v>
      </c>
      <c r="S253" s="12">
        <v>5.674490585504256</v>
      </c>
    </row>
    <row r="254" spans="12:19">
      <c r="L254" t="s">
        <v>73</v>
      </c>
      <c r="M254" s="15">
        <v>45621</v>
      </c>
      <c r="N254" t="b">
        <v>1</v>
      </c>
      <c r="O254" s="10">
        <v>11308</v>
      </c>
      <c r="P254" s="10">
        <v>114</v>
      </c>
      <c r="Q254" s="10">
        <v>53</v>
      </c>
      <c r="R254" s="12">
        <v>10.08135833038557</v>
      </c>
      <c r="S254" s="12">
        <v>4.686947293951185</v>
      </c>
    </row>
    <row r="255" spans="12:19">
      <c r="L255" t="s">
        <v>73</v>
      </c>
      <c r="M255" s="15">
        <v>45628</v>
      </c>
      <c r="N255" t="b">
        <v>1</v>
      </c>
      <c r="O255" s="10">
        <v>11440</v>
      </c>
      <c r="P255" s="10">
        <v>167</v>
      </c>
      <c r="Q255" s="10">
        <v>87</v>
      </c>
      <c r="R255" s="12">
        <v>14.5979020979021</v>
      </c>
      <c r="S255" s="12">
        <v>7.604895104895105</v>
      </c>
    </row>
    <row r="256" spans="12:19">
      <c r="L256" t="s">
        <v>73</v>
      </c>
      <c r="M256" s="15">
        <v>45635</v>
      </c>
      <c r="N256" t="b">
        <v>1</v>
      </c>
      <c r="O256" s="10">
        <v>11478</v>
      </c>
      <c r="P256" s="10">
        <v>149</v>
      </c>
      <c r="Q256" s="10">
        <v>80</v>
      </c>
      <c r="R256" s="12">
        <v>12.98135563687054</v>
      </c>
      <c r="S256" s="12">
        <v>6.969855375500958</v>
      </c>
    </row>
    <row r="257" spans="12:19">
      <c r="L257" t="s">
        <v>73</v>
      </c>
      <c r="M257" s="15">
        <v>45642</v>
      </c>
      <c r="N257" t="b">
        <v>1</v>
      </c>
      <c r="O257" s="10">
        <v>11033</v>
      </c>
      <c r="P257" s="10">
        <v>138</v>
      </c>
      <c r="Q257" s="10">
        <v>63</v>
      </c>
      <c r="R257" s="12">
        <v>12.50793075319496</v>
      </c>
      <c r="S257" s="12">
        <v>5.710142300371612</v>
      </c>
    </row>
    <row r="258" spans="12:19">
      <c r="L258" t="s">
        <v>73</v>
      </c>
      <c r="M258" s="15">
        <v>45649</v>
      </c>
      <c r="N258" t="b">
        <v>1</v>
      </c>
      <c r="O258" s="10">
        <v>11147</v>
      </c>
      <c r="P258" s="10">
        <v>73</v>
      </c>
      <c r="Q258" s="10">
        <v>33</v>
      </c>
      <c r="R258" s="12">
        <v>6.548847223468198</v>
      </c>
      <c r="S258" s="12">
        <v>2.960437785951377</v>
      </c>
    </row>
    <row r="259" spans="12:19">
      <c r="L259" t="s">
        <v>73</v>
      </c>
      <c r="M259" s="15">
        <v>45656</v>
      </c>
      <c r="N259" t="b">
        <v>1</v>
      </c>
      <c r="O259" s="10">
        <v>11980</v>
      </c>
      <c r="P259" s="10">
        <v>88</v>
      </c>
      <c r="Q259" s="10">
        <v>35</v>
      </c>
      <c r="R259" s="12">
        <v>7.345575959933222</v>
      </c>
      <c r="S259" s="12">
        <v>2.921535893155258</v>
      </c>
    </row>
    <row r="260" spans="12:19">
      <c r="L260" t="s">
        <v>73</v>
      </c>
      <c r="M260" s="15">
        <v>45663</v>
      </c>
      <c r="N260" t="b">
        <v>1</v>
      </c>
      <c r="O260" s="10">
        <v>11103</v>
      </c>
      <c r="P260" s="10">
        <v>152</v>
      </c>
      <c r="Q260" s="10">
        <v>235</v>
      </c>
      <c r="R260" s="12">
        <v>13.68999369539764</v>
      </c>
      <c r="S260" s="12">
        <v>21.16545077906872</v>
      </c>
    </row>
    <row r="261" spans="12:19">
      <c r="L261" t="s">
        <v>73</v>
      </c>
      <c r="M261" s="15">
        <v>45670</v>
      </c>
      <c r="N261" t="b">
        <v>1</v>
      </c>
      <c r="O261" s="10">
        <v>11043</v>
      </c>
      <c r="P261" s="10">
        <v>139</v>
      </c>
      <c r="Q261" s="10">
        <v>53</v>
      </c>
      <c r="R261" s="12">
        <v>12.58715928642579</v>
      </c>
      <c r="S261" s="12">
        <v>4.799420447342207</v>
      </c>
    </row>
    <row r="262" spans="12:19">
      <c r="L262" t="s">
        <v>73</v>
      </c>
      <c r="M262" s="15">
        <v>45677</v>
      </c>
      <c r="N262" t="b">
        <v>1</v>
      </c>
      <c r="O262" s="10">
        <v>11682</v>
      </c>
      <c r="P262" s="10">
        <v>141</v>
      </c>
      <c r="Q262" s="10">
        <v>79</v>
      </c>
      <c r="R262" s="12">
        <v>12.0698510529019</v>
      </c>
      <c r="S262" s="12">
        <v>6.762540660845746</v>
      </c>
    </row>
    <row r="263" spans="12:19">
      <c r="L263" t="s">
        <v>73</v>
      </c>
      <c r="M263" s="15">
        <v>45684</v>
      </c>
      <c r="N263" t="b">
        <v>1</v>
      </c>
      <c r="O263" s="10">
        <v>12099</v>
      </c>
      <c r="P263" s="10">
        <v>477</v>
      </c>
      <c r="Q263" s="10">
        <v>68</v>
      </c>
      <c r="R263" s="12">
        <v>39.4247458467642</v>
      </c>
      <c r="S263" s="12">
        <v>5.62029919828085</v>
      </c>
    </row>
    <row r="264" spans="12:19">
      <c r="L264" t="s">
        <v>73</v>
      </c>
      <c r="M264" s="15">
        <v>45691</v>
      </c>
      <c r="N264" t="b">
        <v>0</v>
      </c>
      <c r="O264" s="10">
        <v>11745</v>
      </c>
      <c r="P264" s="10">
        <v>151</v>
      </c>
      <c r="Q264" s="10">
        <v>112</v>
      </c>
      <c r="R264" s="12">
        <v>12.85653469561516</v>
      </c>
      <c r="S264" s="12">
        <v>9.535972754363559</v>
      </c>
    </row>
    <row r="265" spans="12:19">
      <c r="L265" t="s">
        <v>73</v>
      </c>
      <c r="M265" s="15">
        <v>45698</v>
      </c>
      <c r="N265" t="b">
        <v>0</v>
      </c>
      <c r="O265" s="10">
        <v>11329</v>
      </c>
      <c r="P265" s="10">
        <v>189</v>
      </c>
      <c r="Q265" s="10">
        <v>117</v>
      </c>
      <c r="R265" s="12">
        <v>16.68284932474181</v>
      </c>
      <c r="S265" s="12">
        <v>10.3274781534116</v>
      </c>
    </row>
    <row r="266" spans="12:19">
      <c r="L266" t="s">
        <v>73</v>
      </c>
      <c r="M266" s="15">
        <v>45705</v>
      </c>
      <c r="N266" t="b">
        <v>0</v>
      </c>
      <c r="O266" s="10">
        <v>11564</v>
      </c>
      <c r="P266" s="10">
        <v>148</v>
      </c>
      <c r="Q266" s="10">
        <v>129</v>
      </c>
      <c r="R266" s="12">
        <v>12.79833967485299</v>
      </c>
      <c r="S266" s="12">
        <v>11.1553095814597</v>
      </c>
    </row>
    <row r="267" spans="12:19">
      <c r="L267" t="s">
        <v>73</v>
      </c>
      <c r="M267" s="15">
        <v>45712</v>
      </c>
      <c r="N267" t="b">
        <v>0</v>
      </c>
      <c r="O267" s="10">
        <v>11856</v>
      </c>
      <c r="P267" s="10">
        <v>158</v>
      </c>
      <c r="Q267" s="10">
        <v>111</v>
      </c>
      <c r="R267" s="12">
        <v>13.32658569500675</v>
      </c>
      <c r="S267" s="12">
        <v>9.362348178137651</v>
      </c>
    </row>
    <row r="268" spans="12:19">
      <c r="L268" t="s">
        <v>73</v>
      </c>
      <c r="M268" s="15">
        <v>45719</v>
      </c>
      <c r="N268" t="b">
        <v>0</v>
      </c>
      <c r="O268" s="10">
        <v>11258</v>
      </c>
      <c r="P268" s="10">
        <v>311</v>
      </c>
      <c r="Q268" s="10">
        <v>142</v>
      </c>
      <c r="R268" s="12">
        <v>27.62480014212116</v>
      </c>
      <c r="S268" s="12">
        <v>12.6132527980103</v>
      </c>
    </row>
    <row r="269" spans="12:19">
      <c r="L269" t="s">
        <v>73</v>
      </c>
      <c r="M269" s="15">
        <v>45726</v>
      </c>
      <c r="N269" t="b">
        <v>0</v>
      </c>
      <c r="O269" s="10">
        <v>11305</v>
      </c>
      <c r="P269" s="10">
        <v>557</v>
      </c>
      <c r="Q269" s="10">
        <v>193</v>
      </c>
      <c r="R269" s="12">
        <v>49.2702344095533</v>
      </c>
      <c r="S269" s="12">
        <v>17.07209199469261</v>
      </c>
    </row>
    <row r="270" spans="12:19">
      <c r="L270" t="s">
        <v>73</v>
      </c>
      <c r="M270" s="15">
        <v>45733</v>
      </c>
      <c r="N270" t="b">
        <v>0</v>
      </c>
      <c r="O270" s="10">
        <v>11802</v>
      </c>
      <c r="P270" s="10">
        <v>332</v>
      </c>
      <c r="Q270" s="10">
        <v>96</v>
      </c>
      <c r="R270" s="12">
        <v>28.1308252838502</v>
      </c>
      <c r="S270" s="12">
        <v>8.13421453990849</v>
      </c>
    </row>
    <row r="271" spans="12:19">
      <c r="L271" t="s">
        <v>73</v>
      </c>
      <c r="M271" s="15">
        <v>45740</v>
      </c>
      <c r="N271" t="b">
        <v>0</v>
      </c>
      <c r="O271" s="10">
        <v>11820</v>
      </c>
      <c r="P271" s="10">
        <v>131</v>
      </c>
      <c r="Q271" s="10">
        <v>63</v>
      </c>
      <c r="R271" s="12">
        <v>11.082910321489</v>
      </c>
      <c r="S271" s="12">
        <v>5.32994923857868</v>
      </c>
    </row>
    <row r="272" spans="12:19">
      <c r="L272" t="s">
        <v>73</v>
      </c>
      <c r="M272" s="15">
        <v>45747</v>
      </c>
      <c r="N272" t="b">
        <v>0</v>
      </c>
      <c r="O272" s="10">
        <v>11197</v>
      </c>
      <c r="P272" s="10">
        <v>104</v>
      </c>
      <c r="Q272" s="10">
        <v>50</v>
      </c>
      <c r="R272" s="12">
        <v>9.288202197017061</v>
      </c>
      <c r="S272" s="12">
        <v>4.46548182548897</v>
      </c>
    </row>
    <row r="273" spans="12:19">
      <c r="L273" t="s">
        <v>73</v>
      </c>
      <c r="M273" s="15">
        <v>45754</v>
      </c>
      <c r="N273" t="b">
        <v>0</v>
      </c>
      <c r="O273" s="10">
        <v>11087</v>
      </c>
      <c r="P273" s="10">
        <v>284</v>
      </c>
      <c r="Q273" s="10">
        <v>97</v>
      </c>
      <c r="R273" s="12">
        <v>25.61558582123208</v>
      </c>
      <c r="S273" s="12">
        <v>8.748985298096871</v>
      </c>
    </row>
    <row r="274" spans="12:19">
      <c r="L274" t="s">
        <v>73</v>
      </c>
      <c r="M274" s="15">
        <v>45761</v>
      </c>
      <c r="N274" t="b">
        <v>0</v>
      </c>
      <c r="O274" s="10">
        <v>11222</v>
      </c>
      <c r="P274" s="10">
        <v>249</v>
      </c>
      <c r="Q274" s="10">
        <v>135</v>
      </c>
      <c r="R274" s="12">
        <v>22.18855818927108</v>
      </c>
      <c r="S274" s="12">
        <v>12.0299411869542</v>
      </c>
    </row>
    <row r="275" spans="12:19">
      <c r="L275" t="s">
        <v>73</v>
      </c>
      <c r="M275" s="15">
        <v>45768</v>
      </c>
      <c r="N275" t="b">
        <v>0</v>
      </c>
      <c r="O275" s="10">
        <v>13249</v>
      </c>
      <c r="P275" s="10">
        <v>324</v>
      </c>
      <c r="Q275" s="10">
        <v>100</v>
      </c>
      <c r="R275" s="12">
        <v>24.45467582459053</v>
      </c>
      <c r="S275" s="12">
        <v>7.547739452034116</v>
      </c>
    </row>
    <row r="276" spans="12:19">
      <c r="L276" t="s">
        <v>73</v>
      </c>
      <c r="M276" s="15">
        <v>45775</v>
      </c>
      <c r="N276" t="b">
        <v>0</v>
      </c>
      <c r="O276" s="10">
        <v>11342</v>
      </c>
      <c r="P276" s="10">
        <v>123</v>
      </c>
      <c r="Q276" s="10">
        <v>79</v>
      </c>
      <c r="R276" s="12">
        <v>10.84464821019221</v>
      </c>
      <c r="S276" s="12">
        <v>6.965261858578734</v>
      </c>
    </row>
    <row r="277" spans="12:19">
      <c r="L277" t="s">
        <v>73</v>
      </c>
      <c r="M277" s="15">
        <v>45782</v>
      </c>
      <c r="N277" t="b">
        <v>0</v>
      </c>
      <c r="O277" s="10">
        <v>12136</v>
      </c>
      <c r="P277" s="10">
        <v>135</v>
      </c>
      <c r="Q277" s="10">
        <v>172</v>
      </c>
      <c r="R277" s="12">
        <v>11.12392880685564</v>
      </c>
      <c r="S277" s="12">
        <v>14.17270929466051</v>
      </c>
    </row>
    <row r="278" spans="12:19">
      <c r="L278" t="s">
        <v>73</v>
      </c>
      <c r="M278" s="15">
        <v>45789</v>
      </c>
      <c r="N278" t="b">
        <v>0</v>
      </c>
      <c r="O278" s="10">
        <v>11436</v>
      </c>
      <c r="P278" s="10">
        <v>202</v>
      </c>
      <c r="Q278" s="10">
        <v>69</v>
      </c>
      <c r="R278" s="12">
        <v>17.66351871283666</v>
      </c>
      <c r="S278" s="12">
        <v>6.033578174186778</v>
      </c>
    </row>
    <row r="279" spans="12:19">
      <c r="L279" t="s">
        <v>73</v>
      </c>
      <c r="M279" s="15">
        <v>45796</v>
      </c>
      <c r="N279" t="b">
        <v>0</v>
      </c>
      <c r="O279" s="10">
        <v>11605</v>
      </c>
      <c r="P279" s="10">
        <v>109</v>
      </c>
      <c r="Q279" s="10">
        <v>43</v>
      </c>
      <c r="R279" s="12">
        <v>9.39250323136579</v>
      </c>
      <c r="S279" s="12">
        <v>3.705299439896596</v>
      </c>
    </row>
    <row r="280" spans="12:19">
      <c r="L280" t="s">
        <v>73</v>
      </c>
      <c r="M280" s="15">
        <v>45803</v>
      </c>
      <c r="N280" t="b">
        <v>0</v>
      </c>
      <c r="O280" s="10">
        <v>11600</v>
      </c>
      <c r="P280" s="10">
        <v>89</v>
      </c>
      <c r="Q280" s="10">
        <v>37</v>
      </c>
      <c r="R280" s="12">
        <v>7.672413793103448</v>
      </c>
      <c r="S280" s="12">
        <v>3.189655172413793</v>
      </c>
    </row>
    <row r="281" spans="12:19">
      <c r="L281" t="s">
        <v>73</v>
      </c>
      <c r="M281" s="15">
        <v>45810</v>
      </c>
      <c r="N281" t="b">
        <v>0</v>
      </c>
      <c r="O281" s="10">
        <v>11572</v>
      </c>
      <c r="P281" s="10">
        <v>193</v>
      </c>
      <c r="Q281" s="10">
        <v>94</v>
      </c>
      <c r="R281" s="12">
        <v>16.67818873142067</v>
      </c>
      <c r="S281" s="12">
        <v>8.123055651572761</v>
      </c>
    </row>
    <row r="282" spans="12:19">
      <c r="L282" t="s">
        <v>73</v>
      </c>
      <c r="M282" s="15">
        <v>45817</v>
      </c>
      <c r="N282" t="b">
        <v>0</v>
      </c>
      <c r="O282" s="10">
        <v>11521</v>
      </c>
      <c r="P282" s="10">
        <v>304</v>
      </c>
      <c r="Q282" s="10">
        <v>152</v>
      </c>
      <c r="R282" s="12">
        <v>26.38659838555681</v>
      </c>
      <c r="S282" s="12">
        <v>13.1932991927784</v>
      </c>
    </row>
    <row r="283" spans="12:19">
      <c r="L283" t="s">
        <v>73</v>
      </c>
      <c r="M283" s="15">
        <v>45824</v>
      </c>
      <c r="N283" t="b">
        <v>0</v>
      </c>
      <c r="O283" s="10">
        <v>11576</v>
      </c>
      <c r="P283" s="10">
        <v>153</v>
      </c>
      <c r="Q283" s="10">
        <v>78</v>
      </c>
      <c r="R283" s="12">
        <v>13.217000691085</v>
      </c>
      <c r="S283" s="12">
        <v>6.738078783690394</v>
      </c>
    </row>
    <row r="284" spans="12:19">
      <c r="L284" t="s">
        <v>73</v>
      </c>
      <c r="M284" s="15">
        <v>45831</v>
      </c>
      <c r="N284" t="b">
        <v>0</v>
      </c>
      <c r="O284" s="10">
        <v>11214</v>
      </c>
      <c r="P284" s="10">
        <v>109</v>
      </c>
      <c r="Q284" s="10">
        <v>45</v>
      </c>
      <c r="R284" s="12">
        <v>9.719992866060284</v>
      </c>
      <c r="S284" s="12">
        <v>4.012841091492777</v>
      </c>
    </row>
    <row r="285" spans="12:19">
      <c r="L285" t="s">
        <v>73</v>
      </c>
      <c r="M285" s="15">
        <v>45838</v>
      </c>
      <c r="N285" t="b">
        <v>0</v>
      </c>
      <c r="O285" s="10">
        <v>11105</v>
      </c>
      <c r="P285" s="10">
        <v>291</v>
      </c>
      <c r="Q285" s="10">
        <v>94</v>
      </c>
      <c r="R285" s="12">
        <v>26.20441242683476</v>
      </c>
      <c r="S285" s="12">
        <v>8.464655560558308</v>
      </c>
    </row>
    <row r="286" spans="12:19">
      <c r="L286" t="s">
        <v>73</v>
      </c>
      <c r="M286" s="15">
        <v>45845</v>
      </c>
      <c r="N286" t="b">
        <v>0</v>
      </c>
      <c r="O286" s="10">
        <v>11776</v>
      </c>
      <c r="P286" s="10">
        <v>152</v>
      </c>
      <c r="Q286" s="10">
        <v>69</v>
      </c>
      <c r="R286" s="12">
        <v>12.90760869565217</v>
      </c>
      <c r="S286" s="12">
        <v>5.859375</v>
      </c>
    </row>
    <row r="287" spans="12:19">
      <c r="L287" t="s">
        <v>73</v>
      </c>
      <c r="M287" s="15">
        <v>45852</v>
      </c>
      <c r="N287" t="b">
        <v>0</v>
      </c>
      <c r="O287" s="10">
        <v>11101</v>
      </c>
      <c r="P287" s="10">
        <v>100</v>
      </c>
      <c r="Q287" s="10">
        <v>67</v>
      </c>
      <c r="R287" s="12">
        <v>9.008197459688317</v>
      </c>
      <c r="S287" s="12">
        <v>6.035492297991172</v>
      </c>
    </row>
    <row r="288" spans="12:19">
      <c r="L288" t="s">
        <v>73</v>
      </c>
      <c r="M288" s="15">
        <v>45859</v>
      </c>
      <c r="N288" t="b">
        <v>0</v>
      </c>
      <c r="O288" s="10">
        <v>11062</v>
      </c>
      <c r="P288" s="10">
        <v>93</v>
      </c>
      <c r="Q288" s="10">
        <v>32</v>
      </c>
      <c r="R288" s="12">
        <v>8.407159645633701</v>
      </c>
      <c r="S288" s="12">
        <v>2.89278611462665</v>
      </c>
    </row>
    <row r="289" spans="12:19">
      <c r="L289" t="s">
        <v>73</v>
      </c>
      <c r="M289" s="15">
        <v>45866</v>
      </c>
      <c r="N289" t="b">
        <v>0</v>
      </c>
      <c r="O289" s="10">
        <v>11095</v>
      </c>
      <c r="P289" s="10">
        <v>115</v>
      </c>
      <c r="Q289" s="10">
        <v>80</v>
      </c>
      <c r="R289" s="12">
        <v>10.36502929247409</v>
      </c>
      <c r="S289" s="12">
        <v>7.210455159981974</v>
      </c>
    </row>
    <row r="290" spans="12:19">
      <c r="L290" t="s">
        <v>73</v>
      </c>
      <c r="M290" s="15">
        <v>45873</v>
      </c>
      <c r="N290" t="b">
        <v>0</v>
      </c>
      <c r="O290" s="10">
        <v>11718</v>
      </c>
      <c r="P290" s="10">
        <v>108</v>
      </c>
      <c r="Q290" s="10">
        <v>141</v>
      </c>
      <c r="R290" s="12">
        <v>9.216589861751151</v>
      </c>
      <c r="S290" s="12">
        <v>12.03277009728623</v>
      </c>
    </row>
    <row r="291" spans="12:19">
      <c r="L291" t="s">
        <v>73</v>
      </c>
      <c r="M291" s="15">
        <v>45894</v>
      </c>
      <c r="N291" t="b">
        <v>0</v>
      </c>
      <c r="O291" s="10">
        <v>9983</v>
      </c>
      <c r="P291" s="10">
        <v>0</v>
      </c>
      <c r="Q291" s="10">
        <v>0</v>
      </c>
      <c r="R291" s="12">
        <v>0</v>
      </c>
      <c r="S291" s="12">
        <v>0</v>
      </c>
    </row>
    <row r="292" spans="12:19">
      <c r="L292" t="s">
        <v>73</v>
      </c>
      <c r="M292" s="15">
        <v>45901</v>
      </c>
      <c r="N292" t="b">
        <v>0</v>
      </c>
      <c r="O292" s="10">
        <v>11134</v>
      </c>
      <c r="P292" s="10">
        <v>162</v>
      </c>
      <c r="Q292" s="10">
        <v>128</v>
      </c>
      <c r="R292" s="12">
        <v>14.55002694449434</v>
      </c>
      <c r="S292" s="12">
        <v>11.49631758577331</v>
      </c>
    </row>
    <row r="293" spans="12:19">
      <c r="L293" t="s">
        <v>73</v>
      </c>
      <c r="M293" s="15">
        <v>45908</v>
      </c>
      <c r="N293" t="b">
        <v>0</v>
      </c>
      <c r="O293" s="10">
        <v>11105</v>
      </c>
      <c r="P293" s="10">
        <v>50</v>
      </c>
      <c r="Q293" s="10">
        <v>126</v>
      </c>
      <c r="R293" s="12">
        <v>4.5024763619991</v>
      </c>
      <c r="S293" s="12">
        <v>11.34624043223773</v>
      </c>
    </row>
    <row r="294" spans="12:19">
      <c r="L294" t="s">
        <v>73</v>
      </c>
      <c r="M294" s="15">
        <v>45915</v>
      </c>
      <c r="N294" t="b">
        <v>0</v>
      </c>
      <c r="O294" s="10">
        <v>10827</v>
      </c>
      <c r="P294" s="10">
        <v>73</v>
      </c>
      <c r="Q294" s="10">
        <v>61</v>
      </c>
      <c r="R294" s="12">
        <v>6.742403251131431</v>
      </c>
      <c r="S294" s="12">
        <v>5.634062990671469</v>
      </c>
    </row>
    <row r="295" spans="12:19">
      <c r="L295" t="s">
        <v>73</v>
      </c>
      <c r="M295" s="15">
        <v>45922</v>
      </c>
      <c r="N295" t="b">
        <v>0</v>
      </c>
      <c r="O295" s="10">
        <v>10603</v>
      </c>
      <c r="P295" s="10">
        <v>165</v>
      </c>
      <c r="Q295" s="10">
        <v>181</v>
      </c>
      <c r="R295" s="12">
        <v>15.56163349995284</v>
      </c>
      <c r="S295" s="12">
        <v>17.07064038479676</v>
      </c>
    </row>
    <row r="296" spans="12:19">
      <c r="L296" t="s">
        <v>73</v>
      </c>
      <c r="M296" s="15">
        <v>45929</v>
      </c>
      <c r="N296" t="b">
        <v>0</v>
      </c>
      <c r="O296" s="10">
        <v>10628</v>
      </c>
      <c r="P296" s="10">
        <v>214</v>
      </c>
      <c r="Q296" s="10">
        <v>177</v>
      </c>
      <c r="R296" s="12">
        <v>20.13549115543847</v>
      </c>
      <c r="S296" s="12">
        <v>16.65412118931125</v>
      </c>
    </row>
    <row r="297" spans="12:19">
      <c r="L297" t="s">
        <v>73</v>
      </c>
      <c r="M297" s="15">
        <v>45936</v>
      </c>
      <c r="N297" t="b">
        <v>0</v>
      </c>
      <c r="O297" s="10">
        <v>10595</v>
      </c>
      <c r="P297" s="10">
        <v>175</v>
      </c>
      <c r="Q297" s="10">
        <v>63</v>
      </c>
      <c r="R297" s="12">
        <v>16.51722510618216</v>
      </c>
      <c r="S297" s="12">
        <v>5.946201038225578</v>
      </c>
    </row>
    <row r="298" spans="12:19">
      <c r="L298" t="s">
        <v>73</v>
      </c>
      <c r="M298" s="15">
        <v>45943</v>
      </c>
      <c r="N298" t="b">
        <v>0</v>
      </c>
      <c r="O298" s="10">
        <v>10673</v>
      </c>
      <c r="P298" s="10">
        <v>37</v>
      </c>
      <c r="Q298" s="10">
        <v>19</v>
      </c>
      <c r="R298" s="12">
        <v>3.466691651831725</v>
      </c>
      <c r="S298" s="12">
        <v>1.780193010400075</v>
      </c>
    </row>
    <row r="299" spans="12:19">
      <c r="L299" t="s">
        <v>73</v>
      </c>
      <c r="M299" s="15">
        <v>45950</v>
      </c>
      <c r="N299" t="b">
        <v>0</v>
      </c>
      <c r="O299" s="10">
        <v>10535</v>
      </c>
      <c r="P299" s="10">
        <v>152</v>
      </c>
      <c r="Q299" s="10">
        <v>89</v>
      </c>
      <c r="R299" s="12">
        <v>14.4280968201234</v>
      </c>
      <c r="S299" s="12">
        <v>8.448030374940673</v>
      </c>
    </row>
    <row r="300" spans="12:19">
      <c r="L300" t="s">
        <v>73</v>
      </c>
      <c r="M300" s="15">
        <v>45957</v>
      </c>
      <c r="N300" t="b">
        <v>0</v>
      </c>
      <c r="O300" s="10">
        <v>8059</v>
      </c>
      <c r="P300" s="10">
        <v>962</v>
      </c>
      <c r="Q300" s="10">
        <v>170</v>
      </c>
      <c r="R300" s="12">
        <v>119.3696488398064</v>
      </c>
      <c r="S300" s="12">
        <v>21.09442858915498</v>
      </c>
    </row>
    <row r="301" spans="12:19">
      <c r="L301" t="s">
        <v>73</v>
      </c>
      <c r="M301" s="15">
        <v>45964</v>
      </c>
      <c r="N301" t="b">
        <v>1</v>
      </c>
      <c r="O301" s="10">
        <v>8070</v>
      </c>
      <c r="P301" s="10">
        <v>149</v>
      </c>
      <c r="Q301" s="10">
        <v>54</v>
      </c>
      <c r="R301" s="12">
        <v>18.4634448574969</v>
      </c>
      <c r="S301" s="12">
        <v>6.691449814126394</v>
      </c>
    </row>
    <row r="302" spans="12:19">
      <c r="L302" t="s">
        <v>73</v>
      </c>
      <c r="M302" s="15">
        <v>45971</v>
      </c>
      <c r="N302" t="b">
        <v>1</v>
      </c>
      <c r="O302" s="10">
        <v>8119</v>
      </c>
      <c r="P302" s="10">
        <v>177</v>
      </c>
      <c r="Q302" s="10">
        <v>41</v>
      </c>
      <c r="R302" s="12">
        <v>21.80071437369135</v>
      </c>
      <c r="S302" s="12">
        <v>5.049882990516074</v>
      </c>
    </row>
    <row r="303" spans="12:19">
      <c r="L303" t="s">
        <v>73</v>
      </c>
      <c r="M303" s="15">
        <v>45978</v>
      </c>
      <c r="N303" t="b">
        <v>1</v>
      </c>
      <c r="O303" s="10">
        <v>8151</v>
      </c>
      <c r="P303" s="10">
        <v>100</v>
      </c>
      <c r="Q303" s="10">
        <v>73</v>
      </c>
      <c r="R303" s="12">
        <v>12.2684333210649</v>
      </c>
      <c r="S303" s="12">
        <v>8.955956324377377</v>
      </c>
    </row>
    <row r="304" spans="12:19">
      <c r="L304" t="s">
        <v>73</v>
      </c>
      <c r="M304" s="15">
        <v>45985</v>
      </c>
      <c r="N304" t="b">
        <v>1</v>
      </c>
      <c r="O304" s="10">
        <v>8280</v>
      </c>
      <c r="P304" s="10">
        <v>161</v>
      </c>
      <c r="Q304" s="10">
        <v>67</v>
      </c>
      <c r="R304" s="12">
        <v>19.44444444444444</v>
      </c>
      <c r="S304" s="12">
        <v>8.091787439613526</v>
      </c>
    </row>
    <row r="305" spans="12:19">
      <c r="L305" t="s">
        <v>73</v>
      </c>
      <c r="M305" s="15">
        <v>45992</v>
      </c>
      <c r="N305" t="b">
        <v>1</v>
      </c>
      <c r="O305" s="10">
        <v>8215</v>
      </c>
      <c r="P305" s="10">
        <v>81</v>
      </c>
      <c r="Q305" s="10">
        <v>22</v>
      </c>
      <c r="R305" s="12">
        <v>9.860012172854534</v>
      </c>
      <c r="S305" s="12">
        <v>2.678027997565429</v>
      </c>
    </row>
    <row r="306" spans="12:19">
      <c r="L306" t="s">
        <v>73</v>
      </c>
      <c r="M306" s="15">
        <v>45999</v>
      </c>
      <c r="N306" t="b">
        <v>1</v>
      </c>
      <c r="O306" s="10">
        <v>8602</v>
      </c>
      <c r="P306" s="10">
        <v>29</v>
      </c>
      <c r="Q306" s="10">
        <v>43</v>
      </c>
      <c r="R306" s="12">
        <v>3.371308997907464</v>
      </c>
      <c r="S306" s="12">
        <v>4.998837479655894</v>
      </c>
    </row>
    <row r="307" spans="12:19">
      <c r="L307" t="s">
        <v>73</v>
      </c>
      <c r="M307" s="15">
        <v>46006</v>
      </c>
      <c r="N307" t="b">
        <v>1</v>
      </c>
      <c r="O307" s="10">
        <v>9188</v>
      </c>
      <c r="P307" s="10">
        <v>158</v>
      </c>
      <c r="Q307" s="10">
        <v>91</v>
      </c>
      <c r="R307" s="12">
        <v>17.19634305616021</v>
      </c>
      <c r="S307" s="12">
        <v>9.904222899434044</v>
      </c>
    </row>
    <row r="308" spans="12:19">
      <c r="L308" t="s">
        <v>73</v>
      </c>
      <c r="M308" s="15">
        <v>46013</v>
      </c>
      <c r="N308" t="b">
        <v>1</v>
      </c>
      <c r="O308" s="10">
        <v>9788</v>
      </c>
      <c r="P308" s="10">
        <v>25</v>
      </c>
      <c r="Q308" s="10">
        <v>74</v>
      </c>
      <c r="R308" s="12">
        <v>2.554147936248468</v>
      </c>
      <c r="S308" s="12">
        <v>7.560277891295464</v>
      </c>
    </row>
    <row r="309" spans="12:19">
      <c r="L309" t="s">
        <v>73</v>
      </c>
      <c r="M309" s="15">
        <v>46020</v>
      </c>
      <c r="N309" t="b">
        <v>1</v>
      </c>
      <c r="O309" s="10">
        <v>8803</v>
      </c>
      <c r="P309" s="10">
        <v>44</v>
      </c>
      <c r="Q309" s="10">
        <v>15</v>
      </c>
      <c r="R309" s="12">
        <v>4.998296035442463</v>
      </c>
      <c r="S309" s="12">
        <v>1.703964557537203</v>
      </c>
    </row>
    <row r="310" spans="12:19">
      <c r="L310" t="s">
        <v>73</v>
      </c>
      <c r="M310" s="15">
        <v>46027</v>
      </c>
      <c r="N310" t="b">
        <v>1</v>
      </c>
      <c r="O310" s="10">
        <v>8821</v>
      </c>
      <c r="P310" s="10">
        <v>272</v>
      </c>
      <c r="Q310" s="10">
        <v>98</v>
      </c>
      <c r="R310" s="12">
        <v>30.83550617843781</v>
      </c>
      <c r="S310" s="12">
        <v>11.10985149076068</v>
      </c>
    </row>
    <row r="311" spans="12:19">
      <c r="L311" t="s">
        <v>73</v>
      </c>
      <c r="M311" s="15">
        <v>46034</v>
      </c>
      <c r="N311" t="b">
        <v>1</v>
      </c>
      <c r="O311" s="10">
        <v>9219</v>
      </c>
      <c r="P311" s="10">
        <v>329</v>
      </c>
      <c r="Q311" s="10">
        <v>59</v>
      </c>
      <c r="R311" s="12">
        <v>35.68716780561883</v>
      </c>
      <c r="S311" s="12">
        <v>6.399826445384532</v>
      </c>
    </row>
    <row r="312" spans="12:19">
      <c r="L312" t="s">
        <v>73</v>
      </c>
      <c r="M312" s="15">
        <v>46041</v>
      </c>
      <c r="N312" t="b">
        <v>1</v>
      </c>
      <c r="O312" s="10">
        <v>9094</v>
      </c>
      <c r="P312" s="10">
        <v>68</v>
      </c>
      <c r="Q312" s="10">
        <v>30</v>
      </c>
      <c r="R312" s="12">
        <v>7.477457664394106</v>
      </c>
      <c r="S312" s="12">
        <v>3.298878381350341</v>
      </c>
    </row>
    <row r="313" spans="12:19">
      <c r="L313" t="s">
        <v>73</v>
      </c>
      <c r="M313" s="15">
        <v>46048</v>
      </c>
      <c r="N313" t="b">
        <v>1</v>
      </c>
      <c r="O313" s="10">
        <v>8886</v>
      </c>
      <c r="P313" s="10">
        <v>575</v>
      </c>
      <c r="Q313" s="10">
        <v>64</v>
      </c>
      <c r="R313" s="12">
        <v>64.70853027233851</v>
      </c>
      <c r="S313" s="12">
        <v>7.202340760747242</v>
      </c>
    </row>
    <row r="314" spans="12:19">
      <c r="L314" t="s">
        <v>73</v>
      </c>
      <c r="M314" s="15">
        <v>46055</v>
      </c>
      <c r="N314" t="b">
        <v>1</v>
      </c>
      <c r="O314" s="10">
        <v>8801</v>
      </c>
      <c r="P314" s="10">
        <v>216</v>
      </c>
      <c r="Q314" s="10">
        <v>28</v>
      </c>
      <c r="R314" s="12">
        <v>24.54266560618112</v>
      </c>
      <c r="S314" s="12">
        <v>3.181456652653107</v>
      </c>
    </row>
    <row r="315" spans="12:19">
      <c r="L315" t="s">
        <v>73</v>
      </c>
      <c r="M315" s="15">
        <v>46062</v>
      </c>
      <c r="N315" t="b">
        <v>0</v>
      </c>
      <c r="O315" s="10">
        <v>8705</v>
      </c>
      <c r="P315" s="10">
        <v>241</v>
      </c>
      <c r="Q315" s="10">
        <v>132</v>
      </c>
      <c r="R315" s="12">
        <v>27.68523836875359</v>
      </c>
      <c r="S315" s="12">
        <v>15.16369902354968</v>
      </c>
    </row>
    <row r="316" spans="12:19">
      <c r="L316" t="s">
        <v>73</v>
      </c>
      <c r="M316" s="15">
        <v>46069</v>
      </c>
      <c r="N316" t="b">
        <v>0</v>
      </c>
      <c r="O316" s="10">
        <v>9594</v>
      </c>
      <c r="P316" s="10">
        <v>492</v>
      </c>
      <c r="Q316" s="10">
        <v>30</v>
      </c>
      <c r="R316" s="12">
        <v>51.28205128205128</v>
      </c>
      <c r="S316" s="12">
        <v>3.126954346466542</v>
      </c>
    </row>
    <row r="317" spans="12:19">
      <c r="L317" t="s">
        <v>73</v>
      </c>
      <c r="M317" s="15">
        <v>46076</v>
      </c>
      <c r="N317" t="b">
        <v>0</v>
      </c>
      <c r="O317" s="10">
        <v>8894</v>
      </c>
      <c r="P317" s="10">
        <v>416</v>
      </c>
      <c r="Q317" s="10">
        <v>26</v>
      </c>
      <c r="R317" s="12">
        <v>46.773105464358</v>
      </c>
      <c r="S317" s="12">
        <v>2.923319091522375</v>
      </c>
    </row>
    <row r="318" spans="12:19">
      <c r="L318" t="s">
        <v>73</v>
      </c>
      <c r="M318" s="15">
        <v>46083</v>
      </c>
      <c r="N318" t="b">
        <v>0</v>
      </c>
      <c r="O318" s="10">
        <v>8887</v>
      </c>
      <c r="P318" s="10">
        <v>352</v>
      </c>
      <c r="Q318" s="10">
        <v>145</v>
      </c>
      <c r="R318" s="12">
        <v>39.60841678856757</v>
      </c>
      <c r="S318" s="12">
        <v>16.31596714301789</v>
      </c>
    </row>
    <row r="319" spans="12:19">
      <c r="L319" t="s">
        <v>73</v>
      </c>
      <c r="M319" s="15">
        <v>46090</v>
      </c>
      <c r="N319" t="b">
        <v>0</v>
      </c>
      <c r="O319" s="10">
        <v>8909</v>
      </c>
      <c r="P319" s="10">
        <v>165</v>
      </c>
      <c r="Q319" s="10">
        <v>142</v>
      </c>
      <c r="R319" s="12">
        <v>18.5205971489505</v>
      </c>
      <c r="S319" s="12">
        <v>15.93893815243013</v>
      </c>
    </row>
    <row r="320" spans="12:19">
      <c r="L320" t="s">
        <v>73</v>
      </c>
      <c r="M320" s="15">
        <v>46097</v>
      </c>
      <c r="N320" t="b">
        <v>0</v>
      </c>
      <c r="O320" s="10">
        <v>9888</v>
      </c>
      <c r="P320" s="10">
        <v>78</v>
      </c>
      <c r="Q320" s="10">
        <v>35</v>
      </c>
      <c r="R320" s="12">
        <v>7.888349514563107</v>
      </c>
      <c r="S320" s="12">
        <v>3.539644012944984</v>
      </c>
    </row>
    <row r="321" spans="12:19">
      <c r="L321" t="s">
        <v>73</v>
      </c>
      <c r="M321" s="15">
        <v>46104</v>
      </c>
      <c r="N321" t="b">
        <v>0</v>
      </c>
      <c r="O321" s="10">
        <v>9153</v>
      </c>
      <c r="P321" s="10">
        <v>68</v>
      </c>
      <c r="Q321" s="10">
        <v>87</v>
      </c>
      <c r="R321" s="12">
        <v>7.429258166721294</v>
      </c>
      <c r="S321" s="12">
        <v>9.505080301540479</v>
      </c>
    </row>
    <row r="322" spans="12:19">
      <c r="L322" t="s">
        <v>73</v>
      </c>
      <c r="M322" s="15">
        <v>46111</v>
      </c>
      <c r="N322" t="b">
        <v>0</v>
      </c>
      <c r="O322" s="10">
        <v>9109</v>
      </c>
      <c r="P322" s="10">
        <v>42</v>
      </c>
      <c r="Q322" s="10">
        <v>79</v>
      </c>
      <c r="R322" s="12">
        <v>4.610824459325942</v>
      </c>
      <c r="S322" s="12">
        <v>8.672741244922603</v>
      </c>
    </row>
    <row r="323" spans="12:19">
      <c r="L323" t="s">
        <v>73</v>
      </c>
      <c r="M323" s="15">
        <v>46118</v>
      </c>
      <c r="N323" t="b">
        <v>0</v>
      </c>
      <c r="O323" s="10">
        <v>9052</v>
      </c>
      <c r="P323" s="10">
        <v>28</v>
      </c>
      <c r="Q323" s="10">
        <v>77</v>
      </c>
      <c r="R323" s="12">
        <v>3.093239063190455</v>
      </c>
      <c r="S323" s="12">
        <v>8.506407423773751</v>
      </c>
    </row>
    <row r="324" spans="12:19">
      <c r="L324" t="s">
        <v>73</v>
      </c>
      <c r="M324" s="15">
        <v>46125</v>
      </c>
      <c r="N324" t="b">
        <v>0</v>
      </c>
      <c r="O324" s="10">
        <v>9405</v>
      </c>
      <c r="P324" s="10">
        <v>60</v>
      </c>
      <c r="Q324" s="10">
        <v>80</v>
      </c>
      <c r="R324" s="12">
        <v>6.379585326953748</v>
      </c>
      <c r="S324" s="12">
        <v>8.506113769271664</v>
      </c>
    </row>
    <row r="325" spans="12:19">
      <c r="L325" t="s">
        <v>73</v>
      </c>
      <c r="M325" s="15">
        <v>46132</v>
      </c>
      <c r="N325" t="b">
        <v>0</v>
      </c>
      <c r="O325" s="10">
        <v>9022</v>
      </c>
      <c r="P325" s="10">
        <v>52</v>
      </c>
      <c r="Q325" s="10">
        <v>57</v>
      </c>
      <c r="R325" s="12">
        <v>5.763688760806916</v>
      </c>
      <c r="S325" s="12">
        <v>6.317889603192197</v>
      </c>
    </row>
    <row r="326" spans="12:19">
      <c r="L326" t="s">
        <v>73</v>
      </c>
      <c r="M326" s="15">
        <v>46139</v>
      </c>
      <c r="N326" t="b">
        <v>0</v>
      </c>
      <c r="O326" s="10">
        <v>8893</v>
      </c>
      <c r="P326" s="10">
        <v>118</v>
      </c>
      <c r="Q326" s="10">
        <v>97</v>
      </c>
      <c r="R326" s="12">
        <v>13.26886315079276</v>
      </c>
      <c r="S326" s="12">
        <v>10.90745530192286</v>
      </c>
    </row>
    <row r="327" spans="12:19">
      <c r="L327" t="s">
        <v>73</v>
      </c>
      <c r="M327" s="15">
        <v>46146</v>
      </c>
      <c r="N327" t="b">
        <v>0</v>
      </c>
      <c r="O327" s="10">
        <v>10963</v>
      </c>
      <c r="P327" s="10">
        <v>98</v>
      </c>
      <c r="Q327" s="10">
        <v>101</v>
      </c>
      <c r="R327" s="12">
        <v>8.939158989327739</v>
      </c>
      <c r="S327" s="12">
        <v>9.212806713490831</v>
      </c>
    </row>
    <row r="328" spans="12:19">
      <c r="L328" t="s">
        <v>73</v>
      </c>
      <c r="M328" s="15">
        <v>46153</v>
      </c>
      <c r="N328" t="b">
        <v>0</v>
      </c>
      <c r="O328" s="10">
        <v>9926</v>
      </c>
      <c r="P328" s="10">
        <v>38</v>
      </c>
      <c r="Q328" s="10">
        <v>58</v>
      </c>
      <c r="R328" s="12">
        <v>3.82832963933105</v>
      </c>
      <c r="S328" s="12">
        <v>5.843239975821076</v>
      </c>
    </row>
    <row r="329" spans="12:19">
      <c r="L329" t="s">
        <v>73</v>
      </c>
      <c r="M329" s="15">
        <v>46160</v>
      </c>
      <c r="N329" t="b">
        <v>0</v>
      </c>
      <c r="O329" s="10">
        <v>9250</v>
      </c>
      <c r="P329" s="10">
        <v>11</v>
      </c>
      <c r="Q329" s="10">
        <v>18</v>
      </c>
      <c r="R329" s="12">
        <v>1.189189189189189</v>
      </c>
      <c r="S329" s="12">
        <v>1.945945945945946</v>
      </c>
    </row>
    <row r="330" spans="12:19">
      <c r="L330" t="s">
        <v>73</v>
      </c>
      <c r="M330" s="15">
        <v>46167</v>
      </c>
      <c r="N330" t="b">
        <v>0</v>
      </c>
      <c r="O330" s="10">
        <v>9177</v>
      </c>
      <c r="P330" s="10">
        <v>26</v>
      </c>
      <c r="Q330" s="10">
        <v>23</v>
      </c>
      <c r="R330" s="12">
        <v>2.833169881224801</v>
      </c>
      <c r="S330" s="12">
        <v>2.506265664160401</v>
      </c>
    </row>
    <row r="331" spans="12:19">
      <c r="L331" t="s">
        <v>73</v>
      </c>
      <c r="M331" s="15">
        <v>46174</v>
      </c>
      <c r="N331" t="b">
        <v>0</v>
      </c>
      <c r="O331" s="10">
        <v>9195</v>
      </c>
      <c r="P331" s="10">
        <v>120</v>
      </c>
      <c r="Q331" s="10">
        <v>27</v>
      </c>
      <c r="R331" s="12">
        <v>13.05057096247961</v>
      </c>
      <c r="S331" s="12">
        <v>2.936378466557912</v>
      </c>
    </row>
    <row r="332" spans="12:19">
      <c r="L332" t="s">
        <v>73</v>
      </c>
      <c r="M332" s="15">
        <v>46181</v>
      </c>
      <c r="N332" t="b">
        <v>0</v>
      </c>
      <c r="O332" s="10">
        <v>9214</v>
      </c>
      <c r="P332" s="10">
        <v>68</v>
      </c>
      <c r="Q332" s="10">
        <v>61</v>
      </c>
      <c r="R332" s="12">
        <v>7.380073800738008</v>
      </c>
      <c r="S332" s="12">
        <v>6.620360321250272</v>
      </c>
    </row>
    <row r="333" spans="12:19">
      <c r="L333" t="s">
        <v>73</v>
      </c>
      <c r="M333" s="15">
        <v>46188</v>
      </c>
      <c r="N333" t="b">
        <v>0</v>
      </c>
      <c r="O333" s="10">
        <v>10350</v>
      </c>
      <c r="P333" s="10">
        <v>36</v>
      </c>
      <c r="Q333" s="10">
        <v>19</v>
      </c>
      <c r="R333" s="12">
        <v>3.478260869565217</v>
      </c>
      <c r="S333" s="12">
        <v>1.835748792270532</v>
      </c>
    </row>
    <row r="334" spans="12:19">
      <c r="L334" t="s">
        <v>73</v>
      </c>
      <c r="M334" s="15">
        <v>46195</v>
      </c>
      <c r="N334" t="b">
        <v>0</v>
      </c>
      <c r="O334" s="10">
        <v>10946</v>
      </c>
      <c r="P334" s="10">
        <v>44</v>
      </c>
      <c r="Q334" s="10">
        <v>11</v>
      </c>
      <c r="R334" s="12">
        <v>4.019733235885255</v>
      </c>
      <c r="S334" s="12">
        <v>1.004933308971313</v>
      </c>
    </row>
    <row r="335" spans="12:19">
      <c r="L335" t="s">
        <v>73</v>
      </c>
      <c r="M335" s="15">
        <v>46202</v>
      </c>
      <c r="N335" t="b">
        <v>0</v>
      </c>
      <c r="O335" s="10">
        <v>9411</v>
      </c>
      <c r="P335" s="10">
        <v>123</v>
      </c>
      <c r="Q335" s="10">
        <v>160</v>
      </c>
      <c r="R335" s="12">
        <v>13.06981192221868</v>
      </c>
      <c r="S335" s="12">
        <v>17.00138136223568</v>
      </c>
    </row>
    <row r="336" spans="12:19">
      <c r="L336" t="s">
        <v>73</v>
      </c>
      <c r="M336" s="15">
        <v>46209</v>
      </c>
      <c r="N336" t="b">
        <v>0</v>
      </c>
      <c r="O336" s="10">
        <v>9457</v>
      </c>
      <c r="P336" s="10">
        <v>234</v>
      </c>
      <c r="Q336" s="10">
        <v>123</v>
      </c>
      <c r="R336" s="12">
        <v>24.74357618695146</v>
      </c>
      <c r="S336" s="12">
        <v>13.00623876493602</v>
      </c>
    </row>
    <row r="337" spans="12:19">
      <c r="L337" t="s">
        <v>73</v>
      </c>
      <c r="M337" s="15">
        <v>46216</v>
      </c>
      <c r="N337" t="b">
        <v>0</v>
      </c>
      <c r="O337" s="10">
        <v>9370</v>
      </c>
      <c r="P337" s="10">
        <v>30</v>
      </c>
      <c r="Q337" s="10">
        <v>107</v>
      </c>
      <c r="R337" s="12">
        <v>3.2017075773746</v>
      </c>
      <c r="S337" s="12">
        <v>11.41942369263607</v>
      </c>
    </row>
    <row r="338" spans="12:19">
      <c r="L338" t="s">
        <v>73</v>
      </c>
      <c r="M338" s="15">
        <v>46223</v>
      </c>
      <c r="N338" t="b">
        <v>0</v>
      </c>
      <c r="O338" s="10">
        <v>9374</v>
      </c>
      <c r="P338" s="10">
        <v>39</v>
      </c>
      <c r="Q338" s="10">
        <v>11</v>
      </c>
      <c r="R338" s="12">
        <v>4.160443780669938</v>
      </c>
      <c r="S338" s="12">
        <v>1.173458502240239</v>
      </c>
    </row>
    <row r="339" spans="12:19">
      <c r="L339" t="s">
        <v>73</v>
      </c>
      <c r="M339" s="15">
        <v>46230</v>
      </c>
      <c r="N339" t="b">
        <v>0</v>
      </c>
      <c r="O339" s="10">
        <v>8917</v>
      </c>
      <c r="P339" s="10">
        <v>168</v>
      </c>
      <c r="Q339" s="10">
        <v>73</v>
      </c>
      <c r="R339" s="12">
        <v>18.84041718066614</v>
      </c>
      <c r="S339" s="12">
        <v>8.186609846360884</v>
      </c>
    </row>
    <row r="340" spans="12:19">
      <c r="L340" t="s">
        <v>73</v>
      </c>
      <c r="M340" s="15">
        <v>46237</v>
      </c>
      <c r="N340" t="b">
        <v>0</v>
      </c>
      <c r="O340" s="10">
        <v>8873</v>
      </c>
      <c r="P340" s="10">
        <v>165</v>
      </c>
      <c r="Q340" s="10">
        <v>13</v>
      </c>
      <c r="R340" s="12">
        <v>18.59573988504452</v>
      </c>
      <c r="S340" s="12">
        <v>1.46511890003381</v>
      </c>
    </row>
    <row r="341" spans="12:19">
      <c r="L341" t="s">
        <v>73</v>
      </c>
      <c r="M341" s="15">
        <v>46244</v>
      </c>
      <c r="N341" t="b">
        <v>0</v>
      </c>
      <c r="O341" s="10">
        <v>7456</v>
      </c>
      <c r="P341" s="10">
        <v>54</v>
      </c>
      <c r="Q341" s="10">
        <v>39</v>
      </c>
      <c r="R341" s="12">
        <v>7.242489270386266</v>
      </c>
      <c r="S341" s="12">
        <v>5.23068669527897</v>
      </c>
    </row>
    <row r="342" spans="12:19">
      <c r="L342" t="s">
        <v>73</v>
      </c>
      <c r="M342" s="15">
        <v>46251</v>
      </c>
      <c r="N342" t="b">
        <v>0</v>
      </c>
      <c r="O342" s="10">
        <v>8865</v>
      </c>
      <c r="P342" s="10">
        <v>46</v>
      </c>
      <c r="Q342" s="10">
        <v>19</v>
      </c>
      <c r="R342" s="12">
        <v>5.188945290468133</v>
      </c>
      <c r="S342" s="12">
        <v>2.143260011280316</v>
      </c>
    </row>
    <row r="343" spans="12:19">
      <c r="L343" t="s">
        <v>73</v>
      </c>
      <c r="M343" s="15">
        <v>46258</v>
      </c>
      <c r="N343" t="b">
        <v>0</v>
      </c>
      <c r="O343" s="10">
        <v>7362</v>
      </c>
      <c r="P343" s="10">
        <v>90</v>
      </c>
      <c r="Q343" s="10">
        <v>85</v>
      </c>
      <c r="R343" s="12">
        <v>12.22493887530562</v>
      </c>
      <c r="S343" s="12">
        <v>11.54577560445531</v>
      </c>
    </row>
    <row r="344" spans="12:19">
      <c r="L344" t="s">
        <v>73</v>
      </c>
      <c r="M344" s="15">
        <v>46265</v>
      </c>
      <c r="N344" t="b">
        <v>0</v>
      </c>
      <c r="O344" s="10">
        <v>7599</v>
      </c>
      <c r="P344" s="10">
        <v>36</v>
      </c>
      <c r="Q344" s="10">
        <v>24</v>
      </c>
      <c r="R344" s="12">
        <v>4.737465455981051</v>
      </c>
      <c r="S344" s="12">
        <v>3.158310303987367</v>
      </c>
    </row>
    <row r="345" spans="12:19">
      <c r="L345" t="s">
        <v>73</v>
      </c>
      <c r="M345" s="15">
        <v>46272</v>
      </c>
      <c r="N345" t="b">
        <v>0</v>
      </c>
      <c r="O345" s="10">
        <v>7379</v>
      </c>
      <c r="P345" s="10">
        <v>10</v>
      </c>
      <c r="Q345" s="10">
        <v>24</v>
      </c>
      <c r="R345" s="12">
        <v>1.355197181189863</v>
      </c>
      <c r="S345" s="12">
        <v>3.252473234855672</v>
      </c>
    </row>
    <row r="346" spans="12:19">
      <c r="L346" t="s">
        <v>73</v>
      </c>
      <c r="M346" s="15">
        <v>46279</v>
      </c>
      <c r="N346" t="b">
        <v>0</v>
      </c>
      <c r="O346" s="10">
        <v>7115</v>
      </c>
      <c r="P346" s="10">
        <v>7</v>
      </c>
      <c r="Q346" s="10">
        <v>8</v>
      </c>
      <c r="R346" s="12">
        <v>0.9838369641602248</v>
      </c>
      <c r="S346" s="12">
        <v>1.1243851018974</v>
      </c>
    </row>
    <row r="347" spans="12:19">
      <c r="L347" t="s">
        <v>73</v>
      </c>
      <c r="M347" s="15">
        <v>46286</v>
      </c>
      <c r="N347" t="b">
        <v>0</v>
      </c>
      <c r="O347" s="10">
        <v>8176</v>
      </c>
      <c r="P347" s="10">
        <v>66</v>
      </c>
      <c r="Q347" s="10">
        <v>29</v>
      </c>
      <c r="R347" s="12">
        <v>8.072407045009784</v>
      </c>
      <c r="S347" s="12">
        <v>3.546966731898239</v>
      </c>
    </row>
    <row r="348" spans="12:19">
      <c r="L348" t="s">
        <v>73</v>
      </c>
      <c r="M348" s="15">
        <v>46293</v>
      </c>
      <c r="N348" t="b">
        <v>0</v>
      </c>
      <c r="O348" s="10">
        <v>8320</v>
      </c>
      <c r="P348" s="10">
        <v>22</v>
      </c>
      <c r="Q348" s="10">
        <v>11</v>
      </c>
      <c r="R348" s="12">
        <v>2.644230769230769</v>
      </c>
      <c r="S348" s="12">
        <v>1.322115384615385</v>
      </c>
    </row>
    <row r="349" spans="12:19">
      <c r="L349" t="s">
        <v>73</v>
      </c>
      <c r="M349" s="15">
        <v>46300</v>
      </c>
      <c r="N349" t="b">
        <v>0</v>
      </c>
      <c r="O349" s="10">
        <v>8232</v>
      </c>
      <c r="P349" s="10">
        <v>285</v>
      </c>
      <c r="Q349" s="10">
        <v>5</v>
      </c>
      <c r="R349" s="12">
        <v>34.62099125364431</v>
      </c>
      <c r="S349" s="12">
        <v>0.6073858114674441</v>
      </c>
    </row>
    <row r="350" spans="12:19">
      <c r="L350" t="s">
        <v>66</v>
      </c>
      <c r="M350" s="15">
        <v>45488</v>
      </c>
      <c r="N350" t="b">
        <v>0</v>
      </c>
      <c r="O350" s="10">
        <v>9863</v>
      </c>
      <c r="P350" s="10">
        <v>110</v>
      </c>
      <c r="Q350" s="10">
        <v>215</v>
      </c>
      <c r="R350" s="12">
        <v>11.15279326776843</v>
      </c>
      <c r="S350" s="12">
        <v>21.79864138700193</v>
      </c>
    </row>
    <row r="351" spans="12:19">
      <c r="L351" t="s">
        <v>66</v>
      </c>
      <c r="M351" s="15">
        <v>45495</v>
      </c>
      <c r="N351" t="b">
        <v>0</v>
      </c>
      <c r="O351" s="10">
        <v>9757</v>
      </c>
      <c r="P351" s="10">
        <v>175</v>
      </c>
      <c r="Q351" s="10">
        <v>141</v>
      </c>
      <c r="R351" s="12">
        <v>17.93584093471354</v>
      </c>
      <c r="S351" s="12">
        <v>14.45116326739776</v>
      </c>
    </row>
    <row r="352" spans="12:19">
      <c r="L352" t="s">
        <v>66</v>
      </c>
      <c r="M352" s="15">
        <v>45502</v>
      </c>
      <c r="N352" t="b">
        <v>0</v>
      </c>
      <c r="O352" s="10">
        <v>9780</v>
      </c>
      <c r="P352" s="10">
        <v>114</v>
      </c>
      <c r="Q352" s="10">
        <v>203</v>
      </c>
      <c r="R352" s="12">
        <v>11.65644171779141</v>
      </c>
      <c r="S352" s="12">
        <v>20.75664621676892</v>
      </c>
    </row>
    <row r="353" spans="12:19">
      <c r="L353" t="s">
        <v>66</v>
      </c>
      <c r="M353" s="15">
        <v>45509</v>
      </c>
      <c r="N353" t="b">
        <v>0</v>
      </c>
      <c r="O353" s="10">
        <v>9771</v>
      </c>
      <c r="P353" s="10">
        <v>416</v>
      </c>
      <c r="Q353" s="10">
        <v>236</v>
      </c>
      <c r="R353" s="12">
        <v>42.57496673830724</v>
      </c>
      <c r="S353" s="12">
        <v>24.15310613038584</v>
      </c>
    </row>
    <row r="354" spans="12:19">
      <c r="L354" t="s">
        <v>66</v>
      </c>
      <c r="M354" s="15">
        <v>45516</v>
      </c>
      <c r="N354" t="b">
        <v>0</v>
      </c>
      <c r="O354" s="10">
        <v>10014</v>
      </c>
      <c r="P354" s="10">
        <v>140</v>
      </c>
      <c r="Q354" s="10">
        <v>157</v>
      </c>
      <c r="R354" s="12">
        <v>13.98042740163771</v>
      </c>
      <c r="S354" s="12">
        <v>15.67805072897943</v>
      </c>
    </row>
    <row r="355" spans="12:19">
      <c r="L355" t="s">
        <v>66</v>
      </c>
      <c r="M355" s="15">
        <v>45523</v>
      </c>
      <c r="N355" t="b">
        <v>0</v>
      </c>
      <c r="O355" s="10">
        <v>9703</v>
      </c>
      <c r="P355" s="10">
        <v>228</v>
      </c>
      <c r="Q355" s="10">
        <v>143</v>
      </c>
      <c r="R355" s="12">
        <v>23.49788725136556</v>
      </c>
      <c r="S355" s="12">
        <v>14.73770998660208</v>
      </c>
    </row>
    <row r="356" spans="12:19">
      <c r="L356" t="s">
        <v>66</v>
      </c>
      <c r="M356" s="15">
        <v>45530</v>
      </c>
      <c r="N356" t="b">
        <v>0</v>
      </c>
      <c r="O356" s="10">
        <v>9735</v>
      </c>
      <c r="P356" s="10">
        <v>278</v>
      </c>
      <c r="Q356" s="10">
        <v>311</v>
      </c>
      <c r="R356" s="12">
        <v>28.55675398048279</v>
      </c>
      <c r="S356" s="12">
        <v>31.94658448895737</v>
      </c>
    </row>
    <row r="357" spans="12:19">
      <c r="L357" t="s">
        <v>66</v>
      </c>
      <c r="M357" s="15">
        <v>45537</v>
      </c>
      <c r="N357" t="b">
        <v>0</v>
      </c>
      <c r="O357" s="10">
        <v>9799</v>
      </c>
      <c r="P357" s="10">
        <v>173</v>
      </c>
      <c r="Q357" s="10">
        <v>292</v>
      </c>
      <c r="R357" s="12">
        <v>17.65486274109603</v>
      </c>
      <c r="S357" s="12">
        <v>29.79895907745688</v>
      </c>
    </row>
    <row r="358" spans="12:19">
      <c r="L358" t="s">
        <v>66</v>
      </c>
      <c r="M358" s="15">
        <v>45544</v>
      </c>
      <c r="N358" t="b">
        <v>0</v>
      </c>
      <c r="O358" s="10">
        <v>9777</v>
      </c>
      <c r="P358" s="10">
        <v>159</v>
      </c>
      <c r="Q358" s="10">
        <v>195</v>
      </c>
      <c r="R358" s="12">
        <v>16.26265725682725</v>
      </c>
      <c r="S358" s="12">
        <v>19.94476833384474</v>
      </c>
    </row>
    <row r="359" spans="12:19">
      <c r="L359" t="s">
        <v>66</v>
      </c>
      <c r="M359" s="15">
        <v>45551</v>
      </c>
      <c r="N359" t="b">
        <v>0</v>
      </c>
      <c r="O359" s="10">
        <v>9757</v>
      </c>
      <c r="P359" s="10">
        <v>210</v>
      </c>
      <c r="Q359" s="10">
        <v>160</v>
      </c>
      <c r="R359" s="12">
        <v>21.52300912165625</v>
      </c>
      <c r="S359" s="12">
        <v>16.39848314030952</v>
      </c>
    </row>
    <row r="360" spans="12:19">
      <c r="L360" t="s">
        <v>66</v>
      </c>
      <c r="M360" s="15">
        <v>45558</v>
      </c>
      <c r="N360" t="b">
        <v>0</v>
      </c>
      <c r="O360" s="10">
        <v>12024</v>
      </c>
      <c r="P360" s="10">
        <v>368</v>
      </c>
      <c r="Q360" s="10">
        <v>290</v>
      </c>
      <c r="R360" s="12">
        <v>30.60545575515636</v>
      </c>
      <c r="S360" s="12">
        <v>24.11842980705256</v>
      </c>
    </row>
    <row r="361" spans="12:19">
      <c r="L361" t="s">
        <v>66</v>
      </c>
      <c r="M361" s="15">
        <v>45565</v>
      </c>
      <c r="N361" t="b">
        <v>0</v>
      </c>
      <c r="O361" s="10">
        <v>12020</v>
      </c>
      <c r="P361" s="10">
        <v>369</v>
      </c>
      <c r="Q361" s="10">
        <v>554</v>
      </c>
      <c r="R361" s="12">
        <v>30.69883527454243</v>
      </c>
      <c r="S361" s="12">
        <v>46.08985024958402</v>
      </c>
    </row>
    <row r="362" spans="12:19">
      <c r="L362" t="s">
        <v>66</v>
      </c>
      <c r="M362" s="15">
        <v>45572</v>
      </c>
      <c r="N362" t="b">
        <v>0</v>
      </c>
      <c r="O362" s="10">
        <v>11988</v>
      </c>
      <c r="P362" s="10">
        <v>203</v>
      </c>
      <c r="Q362" s="10">
        <v>277</v>
      </c>
      <c r="R362" s="12">
        <v>16.9336002669336</v>
      </c>
      <c r="S362" s="12">
        <v>23.10643977310644</v>
      </c>
    </row>
    <row r="363" spans="12:19">
      <c r="L363" t="s">
        <v>66</v>
      </c>
      <c r="M363" s="15">
        <v>45579</v>
      </c>
      <c r="N363" t="b">
        <v>0</v>
      </c>
      <c r="O363" s="10">
        <v>12067</v>
      </c>
      <c r="P363" s="10">
        <v>186</v>
      </c>
      <c r="Q363" s="10">
        <v>244</v>
      </c>
      <c r="R363" s="12">
        <v>15.41393884146847</v>
      </c>
      <c r="S363" s="12">
        <v>20.22043589956079</v>
      </c>
    </row>
    <row r="364" spans="12:19">
      <c r="L364" t="s">
        <v>66</v>
      </c>
      <c r="M364" s="15">
        <v>45586</v>
      </c>
      <c r="N364" t="b">
        <v>0</v>
      </c>
      <c r="O364" s="10">
        <v>12076</v>
      </c>
      <c r="P364" s="10">
        <v>254</v>
      </c>
      <c r="Q364" s="10">
        <v>132</v>
      </c>
      <c r="R364" s="12">
        <v>21.0334547863531</v>
      </c>
      <c r="S364" s="12">
        <v>10.93077177873468</v>
      </c>
    </row>
    <row r="365" spans="12:19">
      <c r="L365" t="s">
        <v>66</v>
      </c>
      <c r="M365" s="15">
        <v>45593</v>
      </c>
      <c r="N365" t="b">
        <v>0</v>
      </c>
      <c r="O365" s="10">
        <v>12178</v>
      </c>
      <c r="P365" s="10">
        <v>687</v>
      </c>
      <c r="Q365" s="10">
        <v>581</v>
      </c>
      <c r="R365" s="12">
        <v>56.41320413861061</v>
      </c>
      <c r="S365" s="12">
        <v>47.70898341271145</v>
      </c>
    </row>
    <row r="366" spans="12:19">
      <c r="L366" t="s">
        <v>66</v>
      </c>
      <c r="M366" s="15">
        <v>45600</v>
      </c>
      <c r="N366" t="b">
        <v>1</v>
      </c>
      <c r="O366" s="10">
        <v>12153</v>
      </c>
      <c r="P366" s="10">
        <v>256</v>
      </c>
      <c r="Q366" s="10">
        <v>208</v>
      </c>
      <c r="R366" s="12">
        <v>21.06475767300255</v>
      </c>
      <c r="S366" s="12">
        <v>17.11511560931457</v>
      </c>
    </row>
    <row r="367" spans="12:19">
      <c r="L367" t="s">
        <v>66</v>
      </c>
      <c r="M367" s="15">
        <v>45607</v>
      </c>
      <c r="N367" t="b">
        <v>1</v>
      </c>
      <c r="O367" s="10">
        <v>15568</v>
      </c>
      <c r="P367" s="10">
        <v>323</v>
      </c>
      <c r="Q367" s="10">
        <v>203</v>
      </c>
      <c r="R367" s="12">
        <v>20.74768756423433</v>
      </c>
      <c r="S367" s="12">
        <v>13.03956834532374</v>
      </c>
    </row>
    <row r="368" spans="12:19">
      <c r="L368" t="s">
        <v>66</v>
      </c>
      <c r="M368" s="15">
        <v>45614</v>
      </c>
      <c r="N368" t="b">
        <v>1</v>
      </c>
      <c r="O368" s="10">
        <v>12174</v>
      </c>
      <c r="P368" s="10">
        <v>332</v>
      </c>
      <c r="Q368" s="10">
        <v>247</v>
      </c>
      <c r="R368" s="12">
        <v>27.27123377690159</v>
      </c>
      <c r="S368" s="12">
        <v>20.28914079185149</v>
      </c>
    </row>
    <row r="369" spans="12:19">
      <c r="L369" t="s">
        <v>66</v>
      </c>
      <c r="M369" s="15">
        <v>45621</v>
      </c>
      <c r="N369" t="b">
        <v>1</v>
      </c>
      <c r="O369" s="10">
        <v>12135</v>
      </c>
      <c r="P369" s="10">
        <v>357</v>
      </c>
      <c r="Q369" s="10">
        <v>443</v>
      </c>
      <c r="R369" s="12">
        <v>29.41903584672435</v>
      </c>
      <c r="S369" s="12">
        <v>36.50597445405851</v>
      </c>
    </row>
    <row r="370" spans="12:19">
      <c r="L370" t="s">
        <v>66</v>
      </c>
      <c r="M370" s="15">
        <v>45628</v>
      </c>
      <c r="N370" t="b">
        <v>1</v>
      </c>
      <c r="O370" s="10">
        <v>12079</v>
      </c>
      <c r="P370" s="10">
        <v>245</v>
      </c>
      <c r="Q370" s="10">
        <v>202</v>
      </c>
      <c r="R370" s="12">
        <v>20.28313602119381</v>
      </c>
      <c r="S370" s="12">
        <v>16.72323867869857</v>
      </c>
    </row>
    <row r="371" spans="12:19">
      <c r="L371" t="s">
        <v>66</v>
      </c>
      <c r="M371" s="15">
        <v>45635</v>
      </c>
      <c r="N371" t="b">
        <v>1</v>
      </c>
      <c r="O371" s="10">
        <v>15563</v>
      </c>
      <c r="P371" s="10">
        <v>217</v>
      </c>
      <c r="Q371" s="10">
        <v>205</v>
      </c>
      <c r="R371" s="12">
        <v>13.94332712202018</v>
      </c>
      <c r="S371" s="12">
        <v>13.17226755766883</v>
      </c>
    </row>
    <row r="372" spans="12:19">
      <c r="L372" t="s">
        <v>66</v>
      </c>
      <c r="M372" s="15">
        <v>45642</v>
      </c>
      <c r="N372" t="b">
        <v>1</v>
      </c>
      <c r="O372" s="10">
        <v>15590</v>
      </c>
      <c r="P372" s="10">
        <v>488</v>
      </c>
      <c r="Q372" s="10">
        <v>199</v>
      </c>
      <c r="R372" s="12">
        <v>31.30211674150096</v>
      </c>
      <c r="S372" s="12">
        <v>12.76459268762027</v>
      </c>
    </row>
    <row r="373" spans="12:19">
      <c r="L373" t="s">
        <v>66</v>
      </c>
      <c r="M373" s="15">
        <v>45649</v>
      </c>
      <c r="N373" t="b">
        <v>1</v>
      </c>
      <c r="O373" s="10">
        <v>15734</v>
      </c>
      <c r="P373" s="10">
        <v>626</v>
      </c>
      <c r="Q373" s="10">
        <v>396</v>
      </c>
      <c r="R373" s="12">
        <v>39.78644972670649</v>
      </c>
      <c r="S373" s="12">
        <v>25.16842506673446</v>
      </c>
    </row>
    <row r="374" spans="12:19">
      <c r="L374" t="s">
        <v>66</v>
      </c>
      <c r="M374" s="15">
        <v>45656</v>
      </c>
      <c r="N374" t="b">
        <v>1</v>
      </c>
      <c r="O374" s="10">
        <v>12022</v>
      </c>
      <c r="P374" s="10">
        <v>299</v>
      </c>
      <c r="Q374" s="10">
        <v>165</v>
      </c>
      <c r="R374" s="12">
        <v>24.87106970553984</v>
      </c>
      <c r="S374" s="12">
        <v>13.72483779737148</v>
      </c>
    </row>
    <row r="375" spans="12:19">
      <c r="L375" t="s">
        <v>66</v>
      </c>
      <c r="M375" s="15">
        <v>45663</v>
      </c>
      <c r="N375" t="b">
        <v>1</v>
      </c>
      <c r="O375" s="10">
        <v>15183</v>
      </c>
      <c r="P375" s="10">
        <v>414</v>
      </c>
      <c r="Q375" s="10">
        <v>283</v>
      </c>
      <c r="R375" s="12">
        <v>27.26733847065797</v>
      </c>
      <c r="S375" s="12">
        <v>18.6392676019232</v>
      </c>
    </row>
    <row r="376" spans="12:19">
      <c r="L376" t="s">
        <v>66</v>
      </c>
      <c r="M376" s="15">
        <v>45670</v>
      </c>
      <c r="N376" t="b">
        <v>1</v>
      </c>
      <c r="O376" s="10">
        <v>11997</v>
      </c>
      <c r="P376" s="10">
        <v>349</v>
      </c>
      <c r="Q376" s="10">
        <v>292</v>
      </c>
      <c r="R376" s="12">
        <v>29.09060598482954</v>
      </c>
      <c r="S376" s="12">
        <v>24.3394181878803</v>
      </c>
    </row>
    <row r="377" spans="12:19">
      <c r="L377" t="s">
        <v>66</v>
      </c>
      <c r="M377" s="15">
        <v>45677</v>
      </c>
      <c r="N377" t="b">
        <v>1</v>
      </c>
      <c r="O377" s="10">
        <v>11949</v>
      </c>
      <c r="P377" s="10">
        <v>450</v>
      </c>
      <c r="Q377" s="10">
        <v>215</v>
      </c>
      <c r="R377" s="12">
        <v>37.66005523474768</v>
      </c>
      <c r="S377" s="12">
        <v>17.99313750104611</v>
      </c>
    </row>
    <row r="378" spans="12:19">
      <c r="L378" t="s">
        <v>66</v>
      </c>
      <c r="M378" s="15">
        <v>45684</v>
      </c>
      <c r="N378" t="b">
        <v>1</v>
      </c>
      <c r="O378" s="10">
        <v>11945</v>
      </c>
      <c r="P378" s="10">
        <v>637</v>
      </c>
      <c r="Q378" s="10">
        <v>295</v>
      </c>
      <c r="R378" s="12">
        <v>53.3277521975722</v>
      </c>
      <c r="S378" s="12">
        <v>24.6965257429887</v>
      </c>
    </row>
    <row r="379" spans="12:19">
      <c r="L379" t="s">
        <v>66</v>
      </c>
      <c r="M379" s="15">
        <v>45691</v>
      </c>
      <c r="N379" t="b">
        <v>0</v>
      </c>
      <c r="O379" s="10">
        <v>11886</v>
      </c>
      <c r="P379" s="10">
        <v>432</v>
      </c>
      <c r="Q379" s="10">
        <v>213</v>
      </c>
      <c r="R379" s="12">
        <v>36.34528016153458</v>
      </c>
      <c r="S379" s="12">
        <v>17.92024230186775</v>
      </c>
    </row>
    <row r="380" spans="12:19">
      <c r="L380" t="s">
        <v>66</v>
      </c>
      <c r="M380" s="15">
        <v>45698</v>
      </c>
      <c r="N380" t="b">
        <v>0</v>
      </c>
      <c r="O380" s="10">
        <v>12015</v>
      </c>
      <c r="P380" s="10">
        <v>527</v>
      </c>
      <c r="Q380" s="10">
        <v>309</v>
      </c>
      <c r="R380" s="12">
        <v>43.86183936745734</v>
      </c>
      <c r="S380" s="12">
        <v>25.71785268414482</v>
      </c>
    </row>
    <row r="381" spans="12:19">
      <c r="L381" t="s">
        <v>66</v>
      </c>
      <c r="M381" s="15">
        <v>45705</v>
      </c>
      <c r="N381" t="b">
        <v>0</v>
      </c>
      <c r="O381" s="10">
        <v>12070</v>
      </c>
      <c r="P381" s="10">
        <v>601</v>
      </c>
      <c r="Q381" s="10">
        <v>534</v>
      </c>
      <c r="R381" s="12">
        <v>49.79287489643745</v>
      </c>
      <c r="S381" s="12">
        <v>44.24192212096106</v>
      </c>
    </row>
    <row r="382" spans="12:19">
      <c r="L382" t="s">
        <v>66</v>
      </c>
      <c r="M382" s="15">
        <v>45712</v>
      </c>
      <c r="N382" t="b">
        <v>0</v>
      </c>
      <c r="O382" s="10">
        <v>15253</v>
      </c>
      <c r="P382" s="10">
        <v>587</v>
      </c>
      <c r="Q382" s="10">
        <v>351</v>
      </c>
      <c r="R382" s="12">
        <v>38.48423260997836</v>
      </c>
      <c r="S382" s="12">
        <v>23.01186651806202</v>
      </c>
    </row>
    <row r="383" spans="12:19">
      <c r="L383" t="s">
        <v>66</v>
      </c>
      <c r="M383" s="15">
        <v>45719</v>
      </c>
      <c r="N383" t="b">
        <v>0</v>
      </c>
      <c r="O383" s="10">
        <v>16093</v>
      </c>
      <c r="P383" s="10">
        <v>1004</v>
      </c>
      <c r="Q383" s="10">
        <v>416</v>
      </c>
      <c r="R383" s="12">
        <v>62.38737339215808</v>
      </c>
      <c r="S383" s="12">
        <v>25.84974833778661</v>
      </c>
    </row>
    <row r="384" spans="12:19">
      <c r="L384" t="s">
        <v>66</v>
      </c>
      <c r="M384" s="15">
        <v>45726</v>
      </c>
      <c r="N384" t="b">
        <v>0</v>
      </c>
      <c r="O384" s="10">
        <v>15423</v>
      </c>
      <c r="P384" s="10">
        <v>543</v>
      </c>
      <c r="Q384" s="10">
        <v>211</v>
      </c>
      <c r="R384" s="12">
        <v>35.2071581404396</v>
      </c>
      <c r="S384" s="12">
        <v>13.68086623873436</v>
      </c>
    </row>
    <row r="385" spans="12:19">
      <c r="L385" t="s">
        <v>66</v>
      </c>
      <c r="M385" s="15">
        <v>45733</v>
      </c>
      <c r="N385" t="b">
        <v>0</v>
      </c>
      <c r="O385" s="10">
        <v>16150</v>
      </c>
      <c r="P385" s="10">
        <v>1016</v>
      </c>
      <c r="Q385" s="10">
        <v>919</v>
      </c>
      <c r="R385" s="12">
        <v>62.91021671826626</v>
      </c>
      <c r="S385" s="12">
        <v>56.90402476780186</v>
      </c>
    </row>
    <row r="386" spans="12:19">
      <c r="L386" t="s">
        <v>66</v>
      </c>
      <c r="M386" s="15">
        <v>45740</v>
      </c>
      <c r="N386" t="b">
        <v>0</v>
      </c>
      <c r="O386" s="10">
        <v>15425</v>
      </c>
      <c r="P386" s="10">
        <v>445</v>
      </c>
      <c r="Q386" s="10">
        <v>189</v>
      </c>
      <c r="R386" s="12">
        <v>28.84927066450567</v>
      </c>
      <c r="S386" s="12">
        <v>12.25283630470016</v>
      </c>
    </row>
    <row r="387" spans="12:19">
      <c r="L387" t="s">
        <v>66</v>
      </c>
      <c r="M387" s="15">
        <v>45747</v>
      </c>
      <c r="N387" t="b">
        <v>0</v>
      </c>
      <c r="O387" s="10">
        <v>15459</v>
      </c>
      <c r="P387" s="10">
        <v>872</v>
      </c>
      <c r="Q387" s="10">
        <v>508</v>
      </c>
      <c r="R387" s="12">
        <v>56.40727084546219</v>
      </c>
      <c r="S387" s="12">
        <v>32.86111650171421</v>
      </c>
    </row>
    <row r="388" spans="12:19">
      <c r="L388" t="s">
        <v>66</v>
      </c>
      <c r="M388" s="15">
        <v>45754</v>
      </c>
      <c r="N388" t="b">
        <v>0</v>
      </c>
      <c r="O388" s="10">
        <v>16194</v>
      </c>
      <c r="P388" s="10">
        <v>534</v>
      </c>
      <c r="Q388" s="10">
        <v>530</v>
      </c>
      <c r="R388" s="12">
        <v>32.97517599110782</v>
      </c>
      <c r="S388" s="12">
        <v>32.72817092750402</v>
      </c>
    </row>
    <row r="389" spans="12:19">
      <c r="L389" t="s">
        <v>66</v>
      </c>
      <c r="M389" s="15">
        <v>45761</v>
      </c>
      <c r="N389" t="b">
        <v>0</v>
      </c>
      <c r="O389" s="10">
        <v>16399</v>
      </c>
      <c r="P389" s="10">
        <v>731</v>
      </c>
      <c r="Q389" s="10">
        <v>627</v>
      </c>
      <c r="R389" s="12">
        <v>44.57588877370571</v>
      </c>
      <c r="S389" s="12">
        <v>38.23403866089396</v>
      </c>
    </row>
    <row r="390" spans="12:19">
      <c r="L390" t="s">
        <v>66</v>
      </c>
      <c r="M390" s="15">
        <v>45768</v>
      </c>
      <c r="N390" t="b">
        <v>0</v>
      </c>
      <c r="O390" s="10">
        <v>16193</v>
      </c>
      <c r="P390" s="10">
        <v>838</v>
      </c>
      <c r="Q390" s="10">
        <v>428</v>
      </c>
      <c r="R390" s="12">
        <v>51.7507564997221</v>
      </c>
      <c r="S390" s="12">
        <v>26.43117396405854</v>
      </c>
    </row>
    <row r="391" spans="12:19">
      <c r="L391" t="s">
        <v>66</v>
      </c>
      <c r="M391" s="15">
        <v>45775</v>
      </c>
      <c r="N391" t="b">
        <v>0</v>
      </c>
      <c r="O391" s="10">
        <v>16110</v>
      </c>
      <c r="P391" s="10">
        <v>560</v>
      </c>
      <c r="Q391" s="10">
        <v>247</v>
      </c>
      <c r="R391" s="12">
        <v>34.76101800124147</v>
      </c>
      <c r="S391" s="12">
        <v>15.33209186840472</v>
      </c>
    </row>
    <row r="392" spans="12:19">
      <c r="L392" t="s">
        <v>66</v>
      </c>
      <c r="M392" s="15">
        <v>45782</v>
      </c>
      <c r="N392" t="b">
        <v>0</v>
      </c>
      <c r="O392" s="10">
        <v>16097</v>
      </c>
      <c r="P392" s="10">
        <v>1030</v>
      </c>
      <c r="Q392" s="10">
        <v>887</v>
      </c>
      <c r="R392" s="12">
        <v>63.98707833757843</v>
      </c>
      <c r="S392" s="12">
        <v>55.10343542274958</v>
      </c>
    </row>
    <row r="393" spans="12:19">
      <c r="L393" t="s">
        <v>66</v>
      </c>
      <c r="M393" s="15">
        <v>45789</v>
      </c>
      <c r="N393" t="b">
        <v>0</v>
      </c>
      <c r="O393" s="10">
        <v>14448</v>
      </c>
      <c r="P393" s="10">
        <v>696</v>
      </c>
      <c r="Q393" s="10">
        <v>604</v>
      </c>
      <c r="R393" s="12">
        <v>48.17275747508306</v>
      </c>
      <c r="S393" s="12">
        <v>41.80509413067553</v>
      </c>
    </row>
    <row r="394" spans="12:19">
      <c r="L394" t="s">
        <v>66</v>
      </c>
      <c r="M394" s="15">
        <v>45796</v>
      </c>
      <c r="N394" t="b">
        <v>0</v>
      </c>
      <c r="O394" s="10">
        <v>15940</v>
      </c>
      <c r="P394" s="10">
        <v>805</v>
      </c>
      <c r="Q394" s="10">
        <v>354</v>
      </c>
      <c r="R394" s="12">
        <v>50.50188205771644</v>
      </c>
      <c r="S394" s="12">
        <v>22.20828105395232</v>
      </c>
    </row>
    <row r="395" spans="12:19">
      <c r="L395" t="s">
        <v>66</v>
      </c>
      <c r="M395" s="15">
        <v>45803</v>
      </c>
      <c r="N395" t="b">
        <v>0</v>
      </c>
      <c r="O395" s="10">
        <v>15088</v>
      </c>
      <c r="P395" s="10">
        <v>358</v>
      </c>
      <c r="Q395" s="10">
        <v>217</v>
      </c>
      <c r="R395" s="12">
        <v>23.72746553552492</v>
      </c>
      <c r="S395" s="12">
        <v>14.38229056203605</v>
      </c>
    </row>
    <row r="396" spans="12:19">
      <c r="L396" t="s">
        <v>66</v>
      </c>
      <c r="M396" s="15">
        <v>45810</v>
      </c>
      <c r="N396" t="b">
        <v>0</v>
      </c>
      <c r="O396" s="10">
        <v>12195</v>
      </c>
      <c r="P396" s="10">
        <v>412</v>
      </c>
      <c r="Q396" s="10">
        <v>311</v>
      </c>
      <c r="R396" s="12">
        <v>33.78433784337843</v>
      </c>
      <c r="S396" s="12">
        <v>25.50225502255022</v>
      </c>
    </row>
    <row r="397" spans="12:19">
      <c r="L397" t="s">
        <v>66</v>
      </c>
      <c r="M397" s="15">
        <v>45817</v>
      </c>
      <c r="N397" t="b">
        <v>0</v>
      </c>
      <c r="O397" s="10">
        <v>15505</v>
      </c>
      <c r="P397" s="10">
        <v>716</v>
      </c>
      <c r="Q397" s="10">
        <v>712</v>
      </c>
      <c r="R397" s="12">
        <v>46.17865204772654</v>
      </c>
      <c r="S397" s="12">
        <v>45.92067075137052</v>
      </c>
    </row>
    <row r="398" spans="12:19">
      <c r="L398" t="s">
        <v>66</v>
      </c>
      <c r="M398" s="15">
        <v>45824</v>
      </c>
      <c r="N398" t="b">
        <v>0</v>
      </c>
      <c r="O398" s="10">
        <v>15504</v>
      </c>
      <c r="P398" s="10">
        <v>284</v>
      </c>
      <c r="Q398" s="10">
        <v>282</v>
      </c>
      <c r="R398" s="12">
        <v>18.31785345717234</v>
      </c>
      <c r="S398" s="12">
        <v>18.18885448916409</v>
      </c>
    </row>
    <row r="399" spans="12:19">
      <c r="L399" t="s">
        <v>66</v>
      </c>
      <c r="M399" s="15">
        <v>45831</v>
      </c>
      <c r="N399" t="b">
        <v>0</v>
      </c>
      <c r="O399" s="10">
        <v>16202</v>
      </c>
      <c r="P399" s="10">
        <v>445</v>
      </c>
      <c r="Q399" s="10">
        <v>297</v>
      </c>
      <c r="R399" s="12">
        <v>27.46574496975682</v>
      </c>
      <c r="S399" s="12">
        <v>18.33107023824219</v>
      </c>
    </row>
    <row r="400" spans="12:19">
      <c r="L400" t="s">
        <v>66</v>
      </c>
      <c r="M400" s="15">
        <v>45838</v>
      </c>
      <c r="N400" t="b">
        <v>0</v>
      </c>
      <c r="O400" s="10">
        <v>15328</v>
      </c>
      <c r="P400" s="10">
        <v>380</v>
      </c>
      <c r="Q400" s="10">
        <v>269</v>
      </c>
      <c r="R400" s="12">
        <v>24.79123173277662</v>
      </c>
      <c r="S400" s="12">
        <v>17.54958246346555</v>
      </c>
    </row>
    <row r="401" spans="12:19">
      <c r="L401" t="s">
        <v>66</v>
      </c>
      <c r="M401" s="15">
        <v>45845</v>
      </c>
      <c r="N401" t="b">
        <v>0</v>
      </c>
      <c r="O401" s="10">
        <v>15329</v>
      </c>
      <c r="P401" s="10">
        <v>802</v>
      </c>
      <c r="Q401" s="10">
        <v>565</v>
      </c>
      <c r="R401" s="12">
        <v>52.31913366821058</v>
      </c>
      <c r="S401" s="12">
        <v>36.85824254680671</v>
      </c>
    </row>
    <row r="402" spans="12:19">
      <c r="L402" t="s">
        <v>66</v>
      </c>
      <c r="M402" s="15">
        <v>45852</v>
      </c>
      <c r="N402" t="b">
        <v>0</v>
      </c>
      <c r="O402" s="10">
        <v>15287</v>
      </c>
      <c r="P402" s="10">
        <v>338</v>
      </c>
      <c r="Q402" s="10">
        <v>261</v>
      </c>
      <c r="R402" s="12">
        <v>22.11028978870936</v>
      </c>
      <c r="S402" s="12">
        <v>17.0733302806306</v>
      </c>
    </row>
    <row r="403" spans="12:19">
      <c r="L403" t="s">
        <v>66</v>
      </c>
      <c r="M403" s="15">
        <v>45859</v>
      </c>
      <c r="N403" t="b">
        <v>0</v>
      </c>
      <c r="O403" s="10">
        <v>12164</v>
      </c>
      <c r="P403" s="10">
        <v>247</v>
      </c>
      <c r="Q403" s="10">
        <v>268</v>
      </c>
      <c r="R403" s="12">
        <v>20.30582045379809</v>
      </c>
      <c r="S403" s="12">
        <v>22.03222624136797</v>
      </c>
    </row>
    <row r="404" spans="12:19">
      <c r="L404" t="s">
        <v>66</v>
      </c>
      <c r="M404" s="15">
        <v>45866</v>
      </c>
      <c r="N404" t="b">
        <v>0</v>
      </c>
      <c r="O404" s="10">
        <v>15398</v>
      </c>
      <c r="P404" s="10">
        <v>373</v>
      </c>
      <c r="Q404" s="10">
        <v>534</v>
      </c>
      <c r="R404" s="12">
        <v>24.22392518508897</v>
      </c>
      <c r="S404" s="12">
        <v>34.67982854916223</v>
      </c>
    </row>
    <row r="405" spans="12:19">
      <c r="L405" t="s">
        <v>66</v>
      </c>
      <c r="M405" s="15">
        <v>45873</v>
      </c>
      <c r="N405" t="b">
        <v>0</v>
      </c>
      <c r="O405" s="10">
        <v>15335</v>
      </c>
      <c r="P405" s="10">
        <v>963</v>
      </c>
      <c r="Q405" s="10">
        <v>748</v>
      </c>
      <c r="R405" s="12">
        <v>62.79752200847734</v>
      </c>
      <c r="S405" s="12">
        <v>48.77730681447669</v>
      </c>
    </row>
    <row r="406" spans="12:19">
      <c r="L406" t="s">
        <v>66</v>
      </c>
      <c r="M406" s="15">
        <v>45894</v>
      </c>
      <c r="N406" t="b">
        <v>0</v>
      </c>
      <c r="O406" s="10">
        <v>36</v>
      </c>
      <c r="P406" s="10">
        <v>0</v>
      </c>
      <c r="Q406" s="10">
        <v>0</v>
      </c>
      <c r="R406" s="12">
        <v>0</v>
      </c>
      <c r="S406" s="12">
        <v>0</v>
      </c>
    </row>
    <row r="407" spans="12:19">
      <c r="L407" t="s">
        <v>66</v>
      </c>
      <c r="M407" s="15">
        <v>45901</v>
      </c>
      <c r="N407" t="b">
        <v>0</v>
      </c>
      <c r="O407" s="10">
        <v>135</v>
      </c>
      <c r="P407" s="10">
        <v>5</v>
      </c>
      <c r="Q407" s="10">
        <v>3</v>
      </c>
      <c r="R407" s="12">
        <v>37.03703703703704</v>
      </c>
      <c r="S407" s="12">
        <v>22.22222222222222</v>
      </c>
    </row>
    <row r="408" spans="12:19">
      <c r="L408" t="s">
        <v>66</v>
      </c>
      <c r="M408" s="15">
        <v>45908</v>
      </c>
      <c r="N408" t="b">
        <v>0</v>
      </c>
      <c r="O408" s="10">
        <v>37</v>
      </c>
      <c r="P408" s="10">
        <v>9</v>
      </c>
      <c r="Q408" s="10">
        <v>3</v>
      </c>
      <c r="R408" s="12">
        <v>243.2432432432433</v>
      </c>
      <c r="S408" s="12">
        <v>81.08108108108108</v>
      </c>
    </row>
    <row r="409" spans="12:19">
      <c r="L409" t="s">
        <v>66</v>
      </c>
      <c r="M409" s="15">
        <v>45915</v>
      </c>
      <c r="N409" t="b">
        <v>0</v>
      </c>
      <c r="O409" s="10">
        <v>82</v>
      </c>
      <c r="P409" s="10">
        <v>9</v>
      </c>
      <c r="Q409" s="10">
        <v>3</v>
      </c>
      <c r="R409" s="12">
        <v>109.7560975609756</v>
      </c>
      <c r="S409" s="12">
        <v>36.58536585365854</v>
      </c>
    </row>
    <row r="410" spans="12:19">
      <c r="L410" t="s">
        <v>66</v>
      </c>
      <c r="M410" s="15">
        <v>45922</v>
      </c>
      <c r="N410" t="b">
        <v>0</v>
      </c>
      <c r="O410" s="10">
        <v>251</v>
      </c>
      <c r="P410" s="10">
        <v>5</v>
      </c>
      <c r="Q410" s="10">
        <v>7</v>
      </c>
      <c r="R410" s="12">
        <v>19.9203187250996</v>
      </c>
      <c r="S410" s="12">
        <v>27.88844621513944</v>
      </c>
    </row>
    <row r="411" spans="12:19">
      <c r="L411" t="s">
        <v>66</v>
      </c>
      <c r="M411" s="15">
        <v>45929</v>
      </c>
      <c r="N411" t="b">
        <v>0</v>
      </c>
      <c r="O411" s="10">
        <v>45</v>
      </c>
      <c r="P411" s="10">
        <v>6</v>
      </c>
      <c r="Q411" s="10">
        <v>7</v>
      </c>
      <c r="R411" s="12">
        <v>133.3333333333333</v>
      </c>
      <c r="S411" s="12">
        <v>155.5555555555555</v>
      </c>
    </row>
    <row r="412" spans="12:19">
      <c r="L412" t="s">
        <v>66</v>
      </c>
      <c r="M412" s="15">
        <v>45936</v>
      </c>
      <c r="N412" t="b">
        <v>0</v>
      </c>
      <c r="O412" s="10">
        <v>160</v>
      </c>
      <c r="P412" s="10">
        <v>6</v>
      </c>
      <c r="Q412" s="10">
        <v>6</v>
      </c>
      <c r="R412" s="12">
        <v>37.5</v>
      </c>
      <c r="S412" s="12">
        <v>37.5</v>
      </c>
    </row>
    <row r="413" spans="12:19">
      <c r="L413" t="s">
        <v>66</v>
      </c>
      <c r="M413" s="15">
        <v>45943</v>
      </c>
      <c r="N413" t="b">
        <v>0</v>
      </c>
      <c r="O413" s="10">
        <v>39</v>
      </c>
      <c r="P413" s="10">
        <v>7</v>
      </c>
      <c r="Q413" s="10">
        <v>1</v>
      </c>
      <c r="R413" s="12">
        <v>179.4871794871795</v>
      </c>
      <c r="S413" s="12">
        <v>25.64102564102564</v>
      </c>
    </row>
    <row r="414" spans="12:19">
      <c r="L414" t="s">
        <v>66</v>
      </c>
      <c r="M414" s="15">
        <v>45950</v>
      </c>
      <c r="N414" t="b">
        <v>0</v>
      </c>
      <c r="O414" s="10">
        <v>15142</v>
      </c>
      <c r="P414" s="10">
        <v>405</v>
      </c>
      <c r="Q414" s="10">
        <v>318</v>
      </c>
      <c r="R414" s="12">
        <v>26.74679698850878</v>
      </c>
      <c r="S414" s="12">
        <v>21.00118874653283</v>
      </c>
    </row>
    <row r="415" spans="12:19">
      <c r="L415" t="s">
        <v>66</v>
      </c>
      <c r="M415" s="15">
        <v>45957</v>
      </c>
      <c r="N415" t="b">
        <v>0</v>
      </c>
      <c r="O415" s="10">
        <v>15652</v>
      </c>
      <c r="P415" s="10">
        <v>991</v>
      </c>
      <c r="Q415" s="10">
        <v>618</v>
      </c>
      <c r="R415" s="12">
        <v>63.31459238435983</v>
      </c>
      <c r="S415" s="12">
        <v>39.48377204191158</v>
      </c>
    </row>
    <row r="416" spans="12:19">
      <c r="L416" t="s">
        <v>66</v>
      </c>
      <c r="M416" s="15">
        <v>45964</v>
      </c>
      <c r="N416" t="b">
        <v>1</v>
      </c>
      <c r="O416" s="10">
        <v>15069</v>
      </c>
      <c r="P416" s="10">
        <v>368</v>
      </c>
      <c r="Q416" s="10">
        <v>400</v>
      </c>
      <c r="R416" s="12">
        <v>24.42099674829119</v>
      </c>
      <c r="S416" s="12">
        <v>26.54456168292521</v>
      </c>
    </row>
    <row r="417" spans="12:19">
      <c r="L417" t="s">
        <v>66</v>
      </c>
      <c r="M417" s="15">
        <v>45971</v>
      </c>
      <c r="N417" t="b">
        <v>1</v>
      </c>
      <c r="O417" s="10">
        <v>15119</v>
      </c>
      <c r="P417" s="10">
        <v>374</v>
      </c>
      <c r="Q417" s="10">
        <v>272</v>
      </c>
      <c r="R417" s="12">
        <v>24.73708578609697</v>
      </c>
      <c r="S417" s="12">
        <v>17.99060784443416</v>
      </c>
    </row>
    <row r="418" spans="12:19">
      <c r="L418" t="s">
        <v>66</v>
      </c>
      <c r="M418" s="15">
        <v>45978</v>
      </c>
      <c r="N418" t="b">
        <v>1</v>
      </c>
      <c r="O418" s="10">
        <v>15160</v>
      </c>
      <c r="P418" s="10">
        <v>386</v>
      </c>
      <c r="Q418" s="10">
        <v>330</v>
      </c>
      <c r="R418" s="12">
        <v>25.46174142480211</v>
      </c>
      <c r="S418" s="12">
        <v>21.76781002638522</v>
      </c>
    </row>
    <row r="419" spans="12:19">
      <c r="L419" t="s">
        <v>66</v>
      </c>
      <c r="M419" s="15">
        <v>45985</v>
      </c>
      <c r="N419" t="b">
        <v>1</v>
      </c>
      <c r="O419" s="10">
        <v>10655</v>
      </c>
      <c r="P419" s="10">
        <v>338</v>
      </c>
      <c r="Q419" s="10">
        <v>388</v>
      </c>
      <c r="R419" s="12">
        <v>31.72219615204129</v>
      </c>
      <c r="S419" s="12">
        <v>36.41482871891131</v>
      </c>
    </row>
    <row r="420" spans="12:19">
      <c r="L420" t="s">
        <v>66</v>
      </c>
      <c r="M420" s="15">
        <v>45992</v>
      </c>
      <c r="N420" t="b">
        <v>1</v>
      </c>
      <c r="O420" s="10">
        <v>11984</v>
      </c>
      <c r="P420" s="10">
        <v>125</v>
      </c>
      <c r="Q420" s="10">
        <v>88</v>
      </c>
      <c r="R420" s="12">
        <v>10.4305740987984</v>
      </c>
      <c r="S420" s="12">
        <v>7.343124165554072</v>
      </c>
    </row>
    <row r="421" spans="12:19">
      <c r="L421" t="s">
        <v>66</v>
      </c>
      <c r="M421" s="15">
        <v>45999</v>
      </c>
      <c r="N421" t="b">
        <v>1</v>
      </c>
      <c r="O421" s="10">
        <v>15158</v>
      </c>
      <c r="P421" s="10">
        <v>158</v>
      </c>
      <c r="Q421" s="10">
        <v>179</v>
      </c>
      <c r="R421" s="12">
        <v>10.42353872542552</v>
      </c>
      <c r="S421" s="12">
        <v>11.80894577120992</v>
      </c>
    </row>
    <row r="422" spans="12:19">
      <c r="L422" t="s">
        <v>66</v>
      </c>
      <c r="M422" s="15">
        <v>46006</v>
      </c>
      <c r="N422" t="b">
        <v>1</v>
      </c>
      <c r="O422" s="10">
        <v>15215</v>
      </c>
      <c r="P422" s="10">
        <v>245</v>
      </c>
      <c r="Q422" s="10">
        <v>275</v>
      </c>
      <c r="R422" s="12">
        <v>16.10253039763391</v>
      </c>
      <c r="S422" s="12">
        <v>18.07426881367072</v>
      </c>
    </row>
    <row r="423" spans="12:19">
      <c r="L423" t="s">
        <v>66</v>
      </c>
      <c r="M423" s="15">
        <v>46013</v>
      </c>
      <c r="N423" t="b">
        <v>1</v>
      </c>
      <c r="O423" s="10">
        <v>15241</v>
      </c>
      <c r="P423" s="10">
        <v>389</v>
      </c>
      <c r="Q423" s="10">
        <v>337</v>
      </c>
      <c r="R423" s="12">
        <v>25.52325962863329</v>
      </c>
      <c r="S423" s="12">
        <v>22.11141001246637</v>
      </c>
    </row>
    <row r="424" spans="12:19">
      <c r="L424" t="s">
        <v>66</v>
      </c>
      <c r="M424" s="15">
        <v>46020</v>
      </c>
      <c r="N424" t="b">
        <v>1</v>
      </c>
      <c r="O424" s="10">
        <v>15120</v>
      </c>
      <c r="P424" s="10">
        <v>1007</v>
      </c>
      <c r="Q424" s="10">
        <v>519</v>
      </c>
      <c r="R424" s="12">
        <v>66.6005291005291</v>
      </c>
      <c r="S424" s="12">
        <v>34.32539682539682</v>
      </c>
    </row>
    <row r="425" spans="12:19">
      <c r="L425" t="s">
        <v>66</v>
      </c>
      <c r="M425" s="15">
        <v>46027</v>
      </c>
      <c r="N425" t="b">
        <v>1</v>
      </c>
      <c r="O425" s="10">
        <v>14977</v>
      </c>
      <c r="P425" s="10">
        <v>406</v>
      </c>
      <c r="Q425" s="10">
        <v>388</v>
      </c>
      <c r="R425" s="12">
        <v>27.10823262335581</v>
      </c>
      <c r="S425" s="12">
        <v>25.90638979768979</v>
      </c>
    </row>
    <row r="426" spans="12:19">
      <c r="L426" t="s">
        <v>66</v>
      </c>
      <c r="M426" s="15">
        <v>46034</v>
      </c>
      <c r="N426" t="b">
        <v>1</v>
      </c>
      <c r="O426" s="10">
        <v>14942</v>
      </c>
      <c r="P426" s="10">
        <v>285</v>
      </c>
      <c r="Q426" s="10">
        <v>196</v>
      </c>
      <c r="R426" s="12">
        <v>19.07375184044973</v>
      </c>
      <c r="S426" s="12">
        <v>13.11738723062508</v>
      </c>
    </row>
    <row r="427" spans="12:19">
      <c r="L427" t="s">
        <v>66</v>
      </c>
      <c r="M427" s="15">
        <v>46041</v>
      </c>
      <c r="N427" t="b">
        <v>1</v>
      </c>
      <c r="O427" s="10">
        <v>15041</v>
      </c>
      <c r="P427" s="10">
        <v>340</v>
      </c>
      <c r="Q427" s="10">
        <v>172</v>
      </c>
      <c r="R427" s="12">
        <v>22.60487999468121</v>
      </c>
      <c r="S427" s="12">
        <v>11.43540987966226</v>
      </c>
    </row>
    <row r="428" spans="12:19">
      <c r="L428" t="s">
        <v>66</v>
      </c>
      <c r="M428" s="15">
        <v>46048</v>
      </c>
      <c r="N428" t="b">
        <v>1</v>
      </c>
      <c r="O428" s="10">
        <v>15420</v>
      </c>
      <c r="P428" s="10">
        <v>664</v>
      </c>
      <c r="Q428" s="10">
        <v>780</v>
      </c>
      <c r="R428" s="12">
        <v>43.06095979247731</v>
      </c>
      <c r="S428" s="12">
        <v>50.58365758754864</v>
      </c>
    </row>
    <row r="429" spans="12:19">
      <c r="L429" t="s">
        <v>66</v>
      </c>
      <c r="M429" s="15">
        <v>46055</v>
      </c>
      <c r="N429" t="b">
        <v>1</v>
      </c>
      <c r="O429" s="10">
        <v>15597</v>
      </c>
      <c r="P429" s="10">
        <v>616</v>
      </c>
      <c r="Q429" s="10">
        <v>419</v>
      </c>
      <c r="R429" s="12">
        <v>39.49477463614798</v>
      </c>
      <c r="S429" s="12">
        <v>26.8641405398474</v>
      </c>
    </row>
    <row r="430" spans="12:19">
      <c r="L430" t="s">
        <v>66</v>
      </c>
      <c r="M430" s="15">
        <v>46062</v>
      </c>
      <c r="N430" t="b">
        <v>0</v>
      </c>
      <c r="O430" s="10">
        <v>15318</v>
      </c>
      <c r="P430" s="10">
        <v>983</v>
      </c>
      <c r="Q430" s="10">
        <v>347</v>
      </c>
      <c r="R430" s="12">
        <v>64.17286852069461</v>
      </c>
      <c r="S430" s="12">
        <v>22.65308787047918</v>
      </c>
    </row>
    <row r="431" spans="12:19">
      <c r="L431" t="s">
        <v>66</v>
      </c>
      <c r="M431" s="15">
        <v>46069</v>
      </c>
      <c r="N431" t="b">
        <v>0</v>
      </c>
      <c r="O431" s="10">
        <v>15269</v>
      </c>
      <c r="P431" s="10">
        <v>440</v>
      </c>
      <c r="Q431" s="10">
        <v>215</v>
      </c>
      <c r="R431" s="12">
        <v>28.81655642150763</v>
      </c>
      <c r="S431" s="12">
        <v>14.08081734232759</v>
      </c>
    </row>
    <row r="432" spans="12:19">
      <c r="L432" t="s">
        <v>66</v>
      </c>
      <c r="M432" s="15">
        <v>46076</v>
      </c>
      <c r="N432" t="b">
        <v>0</v>
      </c>
      <c r="O432" s="10">
        <v>15312</v>
      </c>
      <c r="P432" s="10">
        <v>968</v>
      </c>
      <c r="Q432" s="10">
        <v>650</v>
      </c>
      <c r="R432" s="12">
        <v>63.2183908045977</v>
      </c>
      <c r="S432" s="12">
        <v>42.45036572622779</v>
      </c>
    </row>
    <row r="433" spans="12:19">
      <c r="L433" t="s">
        <v>66</v>
      </c>
      <c r="M433" s="15">
        <v>46083</v>
      </c>
      <c r="N433" t="b">
        <v>0</v>
      </c>
      <c r="O433" s="10">
        <v>15358</v>
      </c>
      <c r="P433" s="10">
        <v>762</v>
      </c>
      <c r="Q433" s="10">
        <v>523</v>
      </c>
      <c r="R433" s="12">
        <v>49.61583539523375</v>
      </c>
      <c r="S433" s="12">
        <v>34.05391326995703</v>
      </c>
    </row>
    <row r="434" spans="12:19">
      <c r="L434" t="s">
        <v>66</v>
      </c>
      <c r="M434" s="15">
        <v>46090</v>
      </c>
      <c r="N434" t="b">
        <v>0</v>
      </c>
      <c r="O434" s="10">
        <v>15392</v>
      </c>
      <c r="P434" s="10">
        <v>310</v>
      </c>
      <c r="Q434" s="10">
        <v>371</v>
      </c>
      <c r="R434" s="12">
        <v>20.14033264033264</v>
      </c>
      <c r="S434" s="12">
        <v>24.10343035343035</v>
      </c>
    </row>
    <row r="435" spans="12:19">
      <c r="L435" t="s">
        <v>66</v>
      </c>
      <c r="M435" s="15">
        <v>46097</v>
      </c>
      <c r="N435" t="b">
        <v>0</v>
      </c>
      <c r="O435" s="10">
        <v>15401</v>
      </c>
      <c r="P435" s="10">
        <v>384</v>
      </c>
      <c r="Q435" s="10">
        <v>330</v>
      </c>
      <c r="R435" s="12">
        <v>24.93344588013765</v>
      </c>
      <c r="S435" s="12">
        <v>21.4271800532433</v>
      </c>
    </row>
    <row r="436" spans="12:19">
      <c r="L436" t="s">
        <v>66</v>
      </c>
      <c r="M436" s="15">
        <v>46104</v>
      </c>
      <c r="N436" t="b">
        <v>0</v>
      </c>
      <c r="O436" s="10">
        <v>15370</v>
      </c>
      <c r="P436" s="10">
        <v>786</v>
      </c>
      <c r="Q436" s="10">
        <v>683</v>
      </c>
      <c r="R436" s="12">
        <v>51.13858165256994</v>
      </c>
      <c r="S436" s="12">
        <v>44.43721535458685</v>
      </c>
    </row>
    <row r="437" spans="12:19">
      <c r="L437" t="s">
        <v>66</v>
      </c>
      <c r="M437" s="15">
        <v>46111</v>
      </c>
      <c r="N437" t="b">
        <v>0</v>
      </c>
      <c r="O437" s="10">
        <v>15141</v>
      </c>
      <c r="P437" s="10">
        <v>337</v>
      </c>
      <c r="Q437" s="10">
        <v>370</v>
      </c>
      <c r="R437" s="12">
        <v>22.25744666798758</v>
      </c>
      <c r="S437" s="12">
        <v>24.4369592497193</v>
      </c>
    </row>
    <row r="438" spans="12:19">
      <c r="L438" t="s">
        <v>66</v>
      </c>
      <c r="M438" s="15">
        <v>46118</v>
      </c>
      <c r="N438" t="b">
        <v>0</v>
      </c>
      <c r="O438" s="10">
        <v>14498</v>
      </c>
      <c r="P438" s="10">
        <v>657</v>
      </c>
      <c r="Q438" s="10">
        <v>386</v>
      </c>
      <c r="R438" s="12">
        <v>45.31659539246792</v>
      </c>
      <c r="S438" s="12">
        <v>26.62436198096289</v>
      </c>
    </row>
    <row r="439" spans="12:19">
      <c r="L439" t="s">
        <v>66</v>
      </c>
      <c r="M439" s="15">
        <v>46125</v>
      </c>
      <c r="N439" t="b">
        <v>0</v>
      </c>
      <c r="O439" s="10">
        <v>14234</v>
      </c>
      <c r="P439" s="10">
        <v>637</v>
      </c>
      <c r="Q439" s="10">
        <v>420</v>
      </c>
      <c r="R439" s="12">
        <v>44.75200224813826</v>
      </c>
      <c r="S439" s="12">
        <v>29.50681466910215</v>
      </c>
    </row>
    <row r="440" spans="12:19">
      <c r="L440" t="s">
        <v>66</v>
      </c>
      <c r="M440" s="15">
        <v>46132</v>
      </c>
      <c r="N440" t="b">
        <v>0</v>
      </c>
      <c r="O440" s="10">
        <v>15351</v>
      </c>
      <c r="P440" s="10">
        <v>522</v>
      </c>
      <c r="Q440" s="10">
        <v>457</v>
      </c>
      <c r="R440" s="12">
        <v>34.00429939417627</v>
      </c>
      <c r="S440" s="12">
        <v>29.77004755390528</v>
      </c>
    </row>
    <row r="441" spans="12:19">
      <c r="L441" t="s">
        <v>66</v>
      </c>
      <c r="M441" s="15">
        <v>46139</v>
      </c>
      <c r="N441" t="b">
        <v>0</v>
      </c>
      <c r="O441" s="10">
        <v>15365</v>
      </c>
      <c r="P441" s="10">
        <v>314</v>
      </c>
      <c r="Q441" s="10">
        <v>254</v>
      </c>
      <c r="R441" s="12">
        <v>20.43605597136349</v>
      </c>
      <c r="S441" s="12">
        <v>16.53107712333225</v>
      </c>
    </row>
    <row r="442" spans="12:19">
      <c r="L442" t="s">
        <v>66</v>
      </c>
      <c r="M442" s="15">
        <v>46146</v>
      </c>
      <c r="N442" t="b">
        <v>0</v>
      </c>
      <c r="O442" s="10">
        <v>15346</v>
      </c>
      <c r="P442" s="10">
        <v>524</v>
      </c>
      <c r="Q442" s="10">
        <v>350</v>
      </c>
      <c r="R442" s="12">
        <v>34.14570572136061</v>
      </c>
      <c r="S442" s="12">
        <v>22.80724618793171</v>
      </c>
    </row>
    <row r="443" spans="12:19">
      <c r="L443" t="s">
        <v>66</v>
      </c>
      <c r="M443" s="15">
        <v>46153</v>
      </c>
      <c r="N443" t="b">
        <v>0</v>
      </c>
      <c r="O443" s="10">
        <v>15376</v>
      </c>
      <c r="P443" s="10">
        <v>308</v>
      </c>
      <c r="Q443" s="10">
        <v>399</v>
      </c>
      <c r="R443" s="12">
        <v>20.0312174817898</v>
      </c>
      <c r="S443" s="12">
        <v>25.94953173777316</v>
      </c>
    </row>
    <row r="444" spans="12:19">
      <c r="L444" t="s">
        <v>66</v>
      </c>
      <c r="M444" s="15">
        <v>46160</v>
      </c>
      <c r="N444" t="b">
        <v>0</v>
      </c>
      <c r="O444" s="10">
        <v>15398</v>
      </c>
      <c r="P444" s="10">
        <v>828</v>
      </c>
      <c r="Q444" s="10">
        <v>617</v>
      </c>
      <c r="R444" s="12">
        <v>53.77321730094818</v>
      </c>
      <c r="S444" s="12">
        <v>40.07013897908819</v>
      </c>
    </row>
    <row r="445" spans="12:19">
      <c r="L445" t="s">
        <v>66</v>
      </c>
      <c r="M445" s="15">
        <v>46167</v>
      </c>
      <c r="N445" t="b">
        <v>0</v>
      </c>
      <c r="O445" s="10">
        <v>15348</v>
      </c>
      <c r="P445" s="10">
        <v>509</v>
      </c>
      <c r="Q445" s="10">
        <v>327</v>
      </c>
      <c r="R445" s="12">
        <v>33.16393015376596</v>
      </c>
      <c r="S445" s="12">
        <v>21.30570758405004</v>
      </c>
    </row>
    <row r="446" spans="12:19">
      <c r="L446" t="s">
        <v>66</v>
      </c>
      <c r="M446" s="15">
        <v>46174</v>
      </c>
      <c r="N446" t="b">
        <v>0</v>
      </c>
      <c r="O446" s="10">
        <v>15359</v>
      </c>
      <c r="P446" s="10">
        <v>269</v>
      </c>
      <c r="Q446" s="10">
        <v>344</v>
      </c>
      <c r="R446" s="12">
        <v>17.51416107819519</v>
      </c>
      <c r="S446" s="12">
        <v>22.3972914903314</v>
      </c>
    </row>
    <row r="447" spans="12:19">
      <c r="L447" t="s">
        <v>66</v>
      </c>
      <c r="M447" s="15">
        <v>46181</v>
      </c>
      <c r="N447" t="b">
        <v>0</v>
      </c>
      <c r="O447" s="10">
        <v>15368</v>
      </c>
      <c r="P447" s="10">
        <v>352</v>
      </c>
      <c r="Q447" s="10">
        <v>377</v>
      </c>
      <c r="R447" s="12">
        <v>22.90473711608537</v>
      </c>
      <c r="S447" s="12">
        <v>24.53149401353462</v>
      </c>
    </row>
    <row r="448" spans="12:19">
      <c r="L448" t="s">
        <v>66</v>
      </c>
      <c r="M448" s="15">
        <v>46188</v>
      </c>
      <c r="N448" t="b">
        <v>0</v>
      </c>
      <c r="O448" s="10">
        <v>15079</v>
      </c>
      <c r="P448" s="10">
        <v>144</v>
      </c>
      <c r="Q448" s="10">
        <v>81</v>
      </c>
      <c r="R448" s="12">
        <v>9.549704887592016</v>
      </c>
      <c r="S448" s="12">
        <v>5.371708999270509</v>
      </c>
    </row>
    <row r="449" spans="12:19">
      <c r="L449" t="s">
        <v>66</v>
      </c>
      <c r="M449" s="15">
        <v>46195</v>
      </c>
      <c r="N449" t="b">
        <v>0</v>
      </c>
      <c r="O449" s="10">
        <v>15387</v>
      </c>
      <c r="P449" s="10">
        <v>486</v>
      </c>
      <c r="Q449" s="10">
        <v>366</v>
      </c>
      <c r="R449" s="12">
        <v>31.58510430883213</v>
      </c>
      <c r="S449" s="12">
        <v>23.78631312146617</v>
      </c>
    </row>
    <row r="450" spans="12:19">
      <c r="L450" t="s">
        <v>66</v>
      </c>
      <c r="M450" s="15">
        <v>46202</v>
      </c>
      <c r="N450" t="b">
        <v>0</v>
      </c>
      <c r="O450" s="10">
        <v>15397</v>
      </c>
      <c r="P450" s="10">
        <v>318</v>
      </c>
      <c r="Q450" s="10">
        <v>258</v>
      </c>
      <c r="R450" s="12">
        <v>20.65337403390271</v>
      </c>
      <c r="S450" s="12">
        <v>16.75651100863805</v>
      </c>
    </row>
    <row r="451" spans="12:19">
      <c r="L451" t="s">
        <v>66</v>
      </c>
      <c r="M451" s="15">
        <v>46209</v>
      </c>
      <c r="N451" t="b">
        <v>0</v>
      </c>
      <c r="O451" s="10">
        <v>15380</v>
      </c>
      <c r="P451" s="10">
        <v>255</v>
      </c>
      <c r="Q451" s="10">
        <v>237</v>
      </c>
      <c r="R451" s="12">
        <v>16.57997399219766</v>
      </c>
      <c r="S451" s="12">
        <v>15.40962288686606</v>
      </c>
    </row>
    <row r="452" spans="12:19">
      <c r="L452" t="s">
        <v>66</v>
      </c>
      <c r="M452" s="15">
        <v>46216</v>
      </c>
      <c r="N452" t="b">
        <v>0</v>
      </c>
      <c r="O452" s="10">
        <v>15498</v>
      </c>
      <c r="P452" s="10">
        <v>541</v>
      </c>
      <c r="Q452" s="10">
        <v>431</v>
      </c>
      <c r="R452" s="12">
        <v>34.90773002968125</v>
      </c>
      <c r="S452" s="12">
        <v>27.81004000516196</v>
      </c>
    </row>
    <row r="453" spans="12:19">
      <c r="L453" t="s">
        <v>66</v>
      </c>
      <c r="M453" s="15">
        <v>46223</v>
      </c>
      <c r="N453" t="b">
        <v>0</v>
      </c>
      <c r="O453" s="10">
        <v>15476</v>
      </c>
      <c r="P453" s="10">
        <v>283</v>
      </c>
      <c r="Q453" s="10">
        <v>191</v>
      </c>
      <c r="R453" s="12">
        <v>18.28637890927888</v>
      </c>
      <c r="S453" s="12">
        <v>12.34169035926596</v>
      </c>
    </row>
    <row r="454" spans="12:19">
      <c r="L454" t="s">
        <v>66</v>
      </c>
      <c r="M454" s="15">
        <v>46230</v>
      </c>
      <c r="N454" t="b">
        <v>0</v>
      </c>
      <c r="O454" s="10">
        <v>15587</v>
      </c>
      <c r="P454" s="10">
        <v>289</v>
      </c>
      <c r="Q454" s="10">
        <v>194</v>
      </c>
      <c r="R454" s="12">
        <v>18.54109193558735</v>
      </c>
      <c r="S454" s="12">
        <v>12.44626932700327</v>
      </c>
    </row>
    <row r="455" spans="12:19">
      <c r="L455" t="s">
        <v>66</v>
      </c>
      <c r="M455" s="15">
        <v>46237</v>
      </c>
      <c r="N455" t="b">
        <v>0</v>
      </c>
      <c r="O455" s="10">
        <v>15528</v>
      </c>
      <c r="P455" s="10">
        <v>231</v>
      </c>
      <c r="Q455" s="10">
        <v>213</v>
      </c>
      <c r="R455" s="12">
        <v>14.87635239567234</v>
      </c>
      <c r="S455" s="12">
        <v>13.71715610510046</v>
      </c>
    </row>
    <row r="456" spans="12:19">
      <c r="L456" t="s">
        <v>66</v>
      </c>
      <c r="M456" s="15">
        <v>46244</v>
      </c>
      <c r="N456" t="b">
        <v>0</v>
      </c>
      <c r="O456" s="10">
        <v>15386</v>
      </c>
      <c r="P456" s="10">
        <v>713</v>
      </c>
      <c r="Q456" s="10">
        <v>584</v>
      </c>
      <c r="R456" s="12">
        <v>46.34082932536072</v>
      </c>
      <c r="S456" s="12">
        <v>37.95658390744833</v>
      </c>
    </row>
    <row r="457" spans="12:19">
      <c r="L457" t="s">
        <v>66</v>
      </c>
      <c r="M457" s="15">
        <v>46251</v>
      </c>
      <c r="N457" t="b">
        <v>0</v>
      </c>
      <c r="O457" s="10">
        <v>15544</v>
      </c>
      <c r="P457" s="10">
        <v>242</v>
      </c>
      <c r="Q457" s="10">
        <v>809</v>
      </c>
      <c r="R457" s="12">
        <v>15.56870818322182</v>
      </c>
      <c r="S457" s="12">
        <v>52.04580545548122</v>
      </c>
    </row>
    <row r="458" spans="12:19">
      <c r="L458" t="s">
        <v>66</v>
      </c>
      <c r="M458" s="15">
        <v>46258</v>
      </c>
      <c r="N458" t="b">
        <v>0</v>
      </c>
      <c r="O458" s="10">
        <v>15500</v>
      </c>
      <c r="P458" s="10">
        <v>112</v>
      </c>
      <c r="Q458" s="10">
        <v>126</v>
      </c>
      <c r="R458" s="12">
        <v>7.225806451612903</v>
      </c>
      <c r="S458" s="12">
        <v>8.129032258064516</v>
      </c>
    </row>
    <row r="459" spans="12:19">
      <c r="L459" t="s">
        <v>66</v>
      </c>
      <c r="M459" s="15">
        <v>46265</v>
      </c>
      <c r="N459" t="b">
        <v>0</v>
      </c>
      <c r="O459" s="10">
        <v>15573</v>
      </c>
      <c r="P459" s="10">
        <v>283</v>
      </c>
      <c r="Q459" s="10">
        <v>333</v>
      </c>
      <c r="R459" s="12">
        <v>18.17247800680665</v>
      </c>
      <c r="S459" s="12">
        <v>21.38316316701984</v>
      </c>
    </row>
    <row r="460" spans="12:19">
      <c r="L460" t="s">
        <v>66</v>
      </c>
      <c r="M460" s="15">
        <v>46272</v>
      </c>
      <c r="N460" t="b">
        <v>0</v>
      </c>
      <c r="O460" s="10">
        <v>15515</v>
      </c>
      <c r="P460" s="10">
        <v>645</v>
      </c>
      <c r="Q460" s="10">
        <v>625</v>
      </c>
      <c r="R460" s="12">
        <v>41.57267160812118</v>
      </c>
      <c r="S460" s="12">
        <v>40.28359651949726</v>
      </c>
    </row>
    <row r="461" spans="12:19">
      <c r="L461" t="s">
        <v>66</v>
      </c>
      <c r="M461" s="15">
        <v>46279</v>
      </c>
      <c r="N461" t="b">
        <v>0</v>
      </c>
      <c r="O461" s="10">
        <v>15518</v>
      </c>
      <c r="P461" s="10">
        <v>194</v>
      </c>
      <c r="Q461" s="10">
        <v>263</v>
      </c>
      <c r="R461" s="12">
        <v>12.50161103234953</v>
      </c>
      <c r="S461" s="12">
        <v>16.94806031705117</v>
      </c>
    </row>
    <row r="462" spans="12:19">
      <c r="L462" t="s">
        <v>66</v>
      </c>
      <c r="M462" s="15">
        <v>46286</v>
      </c>
      <c r="N462" t="b">
        <v>0</v>
      </c>
      <c r="O462" s="10">
        <v>15707</v>
      </c>
      <c r="P462" s="10">
        <v>235</v>
      </c>
      <c r="Q462" s="10">
        <v>147</v>
      </c>
      <c r="R462" s="12">
        <v>14.96148214172025</v>
      </c>
      <c r="S462" s="12">
        <v>9.358884573756924</v>
      </c>
    </row>
    <row r="463" spans="12:19">
      <c r="L463" t="s">
        <v>66</v>
      </c>
      <c r="M463" s="15">
        <v>46293</v>
      </c>
      <c r="N463" t="b">
        <v>0</v>
      </c>
      <c r="O463" s="10">
        <v>15701</v>
      </c>
      <c r="P463" s="10">
        <v>463</v>
      </c>
      <c r="Q463" s="10">
        <v>318</v>
      </c>
      <c r="R463" s="12">
        <v>29.48856760715877</v>
      </c>
      <c r="S463" s="12">
        <v>20.2534870390421</v>
      </c>
    </row>
    <row r="464" spans="12:19">
      <c r="L464" t="s">
        <v>66</v>
      </c>
      <c r="M464" s="15">
        <v>46300</v>
      </c>
      <c r="N464" t="b">
        <v>0</v>
      </c>
      <c r="O464" s="10">
        <v>15763</v>
      </c>
      <c r="P464" s="10">
        <v>876</v>
      </c>
      <c r="Q464" s="10">
        <v>826</v>
      </c>
      <c r="R464" s="12">
        <v>55.57317769460128</v>
      </c>
      <c r="S464" s="12">
        <v>52.40119266637061</v>
      </c>
    </row>
    <row r="465" spans="12:19">
      <c r="L465" t="s">
        <v>83</v>
      </c>
      <c r="M465" s="15">
        <v>45558</v>
      </c>
      <c r="N465" t="b">
        <v>0</v>
      </c>
      <c r="O465" s="10">
        <v>9129</v>
      </c>
      <c r="P465" s="10">
        <v>0</v>
      </c>
      <c r="Q465" s="10">
        <v>1</v>
      </c>
      <c r="R465" s="12">
        <v>0</v>
      </c>
      <c r="S465" s="12">
        <v>0.1095410231131558</v>
      </c>
    </row>
    <row r="466" spans="12:19">
      <c r="L466" t="s">
        <v>83</v>
      </c>
      <c r="M466" s="15">
        <v>45565</v>
      </c>
      <c r="N466" t="b">
        <v>0</v>
      </c>
      <c r="O466" s="10">
        <v>9288</v>
      </c>
      <c r="P466" s="10">
        <v>5733</v>
      </c>
      <c r="Q466" s="10">
        <v>54</v>
      </c>
      <c r="R466" s="12">
        <v>617.2480620155038</v>
      </c>
      <c r="S466" s="12">
        <v>5.813953488372093</v>
      </c>
    </row>
    <row r="467" spans="12:19">
      <c r="L467" t="s">
        <v>83</v>
      </c>
      <c r="M467" s="15">
        <v>45572</v>
      </c>
      <c r="N467" t="b">
        <v>0</v>
      </c>
      <c r="O467" s="10">
        <v>9358</v>
      </c>
      <c r="P467" s="10">
        <v>40</v>
      </c>
      <c r="Q467" s="10">
        <v>114</v>
      </c>
      <c r="R467" s="12">
        <v>4.274417610600556</v>
      </c>
      <c r="S467" s="12">
        <v>12.18209019021158</v>
      </c>
    </row>
    <row r="468" spans="12:19">
      <c r="L468" t="s">
        <v>83</v>
      </c>
      <c r="M468" s="15">
        <v>45579</v>
      </c>
      <c r="N468" t="b">
        <v>0</v>
      </c>
      <c r="O468" s="10">
        <v>9376</v>
      </c>
      <c r="P468" s="10">
        <v>94</v>
      </c>
      <c r="Q468" s="10">
        <v>44</v>
      </c>
      <c r="R468" s="12">
        <v>10.02559726962457</v>
      </c>
      <c r="S468" s="12">
        <v>4.69283276450512</v>
      </c>
    </row>
    <row r="469" spans="12:19">
      <c r="L469" t="s">
        <v>83</v>
      </c>
      <c r="M469" s="15">
        <v>45586</v>
      </c>
      <c r="N469" t="b">
        <v>0</v>
      </c>
      <c r="O469" s="10">
        <v>9382</v>
      </c>
      <c r="P469" s="10">
        <v>104</v>
      </c>
      <c r="Q469" s="10">
        <v>33</v>
      </c>
      <c r="R469" s="12">
        <v>11.08505649115327</v>
      </c>
      <c r="S469" s="12">
        <v>3.51737369430825</v>
      </c>
    </row>
    <row r="470" spans="12:19">
      <c r="L470" t="s">
        <v>83</v>
      </c>
      <c r="M470" s="15">
        <v>45593</v>
      </c>
      <c r="N470" t="b">
        <v>0</v>
      </c>
      <c r="O470" s="10">
        <v>9320</v>
      </c>
      <c r="P470" s="10">
        <v>222</v>
      </c>
      <c r="Q470" s="10">
        <v>40</v>
      </c>
      <c r="R470" s="12">
        <v>23.81974248927039</v>
      </c>
      <c r="S470" s="12">
        <v>4.291845493562231</v>
      </c>
    </row>
    <row r="471" spans="12:19">
      <c r="L471" t="s">
        <v>83</v>
      </c>
      <c r="M471" s="15">
        <v>45600</v>
      </c>
      <c r="N471" t="b">
        <v>1</v>
      </c>
      <c r="O471" s="10">
        <v>9309</v>
      </c>
      <c r="P471" s="10">
        <v>285</v>
      </c>
      <c r="Q471" s="10">
        <v>24</v>
      </c>
      <c r="R471" s="12">
        <v>30.61553335481792</v>
      </c>
      <c r="S471" s="12">
        <v>2.578150177247825</v>
      </c>
    </row>
    <row r="472" spans="12:19">
      <c r="L472" t="s">
        <v>83</v>
      </c>
      <c r="M472" s="15">
        <v>45607</v>
      </c>
      <c r="N472" t="b">
        <v>1</v>
      </c>
      <c r="O472" s="10">
        <v>9295</v>
      </c>
      <c r="P472" s="10">
        <v>230</v>
      </c>
      <c r="Q472" s="10">
        <v>78</v>
      </c>
      <c r="R472" s="12">
        <v>24.74448628294783</v>
      </c>
      <c r="S472" s="12">
        <v>8.391608391608392</v>
      </c>
    </row>
    <row r="473" spans="12:19">
      <c r="L473" t="s">
        <v>83</v>
      </c>
      <c r="M473" s="15">
        <v>45614</v>
      </c>
      <c r="N473" t="b">
        <v>1</v>
      </c>
      <c r="O473" s="10">
        <v>9334</v>
      </c>
      <c r="P473" s="10">
        <v>87</v>
      </c>
      <c r="Q473" s="10">
        <v>29</v>
      </c>
      <c r="R473" s="12">
        <v>9.320762802656953</v>
      </c>
      <c r="S473" s="12">
        <v>3.106920934218985</v>
      </c>
    </row>
    <row r="474" spans="12:19">
      <c r="L474" t="s">
        <v>83</v>
      </c>
      <c r="M474" s="15">
        <v>45621</v>
      </c>
      <c r="N474" t="b">
        <v>1</v>
      </c>
      <c r="O474" s="10">
        <v>9500</v>
      </c>
      <c r="P474" s="10">
        <v>66</v>
      </c>
      <c r="Q474" s="10">
        <v>39</v>
      </c>
      <c r="R474" s="12">
        <v>6.947368421052632</v>
      </c>
      <c r="S474" s="12">
        <v>4.105263157894737</v>
      </c>
    </row>
    <row r="475" spans="12:19">
      <c r="L475" t="s">
        <v>83</v>
      </c>
      <c r="M475" s="15">
        <v>45628</v>
      </c>
      <c r="N475" t="b">
        <v>1</v>
      </c>
      <c r="O475" s="10">
        <v>9611</v>
      </c>
      <c r="P475" s="10">
        <v>49</v>
      </c>
      <c r="Q475" s="10">
        <v>41</v>
      </c>
      <c r="R475" s="12">
        <v>5.098324836125273</v>
      </c>
      <c r="S475" s="12">
        <v>4.265945271043596</v>
      </c>
    </row>
    <row r="476" spans="12:19">
      <c r="L476" t="s">
        <v>83</v>
      </c>
      <c r="M476" s="15">
        <v>45635</v>
      </c>
      <c r="N476" t="b">
        <v>1</v>
      </c>
      <c r="O476" s="10">
        <v>9612</v>
      </c>
      <c r="P476" s="10">
        <v>100</v>
      </c>
      <c r="Q476" s="10">
        <v>35</v>
      </c>
      <c r="R476" s="12">
        <v>10.40366208905535</v>
      </c>
      <c r="S476" s="12">
        <v>3.641281731169372</v>
      </c>
    </row>
    <row r="477" spans="12:19">
      <c r="L477" t="s">
        <v>83</v>
      </c>
      <c r="M477" s="15">
        <v>45642</v>
      </c>
      <c r="N477" t="b">
        <v>1</v>
      </c>
      <c r="O477" s="10">
        <v>9645</v>
      </c>
      <c r="P477" s="10">
        <v>37</v>
      </c>
      <c r="Q477" s="10">
        <v>25</v>
      </c>
      <c r="R477" s="12">
        <v>3.83618455158113</v>
      </c>
      <c r="S477" s="12">
        <v>2.592016588906169</v>
      </c>
    </row>
    <row r="478" spans="12:19">
      <c r="L478" t="s">
        <v>83</v>
      </c>
      <c r="M478" s="15">
        <v>45649</v>
      </c>
      <c r="N478" t="b">
        <v>1</v>
      </c>
      <c r="O478" s="10">
        <v>9634</v>
      </c>
      <c r="P478" s="10">
        <v>21</v>
      </c>
      <c r="Q478" s="10">
        <v>14</v>
      </c>
      <c r="R478" s="12">
        <v>2.179779946024496</v>
      </c>
      <c r="S478" s="12">
        <v>1.453186630682998</v>
      </c>
    </row>
    <row r="479" spans="12:19">
      <c r="L479" t="s">
        <v>83</v>
      </c>
      <c r="M479" s="15">
        <v>45656</v>
      </c>
      <c r="N479" t="b">
        <v>1</v>
      </c>
      <c r="O479" s="10">
        <v>9504</v>
      </c>
      <c r="P479" s="10">
        <v>15</v>
      </c>
      <c r="Q479" s="10">
        <v>0</v>
      </c>
      <c r="R479" s="12">
        <v>1.578282828282829</v>
      </c>
      <c r="S479" s="12">
        <v>0</v>
      </c>
    </row>
    <row r="480" spans="12:19">
      <c r="L480" t="s">
        <v>83</v>
      </c>
      <c r="M480" s="15">
        <v>45663</v>
      </c>
      <c r="N480" t="b">
        <v>1</v>
      </c>
      <c r="O480" s="10">
        <v>9463</v>
      </c>
      <c r="P480" s="10">
        <v>41</v>
      </c>
      <c r="Q480" s="10">
        <v>12</v>
      </c>
      <c r="R480" s="12">
        <v>4.332664060023248</v>
      </c>
      <c r="S480" s="12">
        <v>1.268096798055585</v>
      </c>
    </row>
    <row r="481" spans="12:19">
      <c r="L481" t="s">
        <v>83</v>
      </c>
      <c r="M481" s="15">
        <v>45670</v>
      </c>
      <c r="N481" t="b">
        <v>1</v>
      </c>
      <c r="O481" s="10">
        <v>9401</v>
      </c>
      <c r="P481" s="10">
        <v>136</v>
      </c>
      <c r="Q481" s="10">
        <v>16</v>
      </c>
      <c r="R481" s="12">
        <v>14.46654611211573</v>
      </c>
      <c r="S481" s="12">
        <v>1.70194660142538</v>
      </c>
    </row>
    <row r="482" spans="12:19">
      <c r="L482" t="s">
        <v>83</v>
      </c>
      <c r="M482" s="15">
        <v>45677</v>
      </c>
      <c r="N482" t="b">
        <v>1</v>
      </c>
      <c r="O482" s="10">
        <v>9373</v>
      </c>
      <c r="P482" s="10">
        <v>529</v>
      </c>
      <c r="Q482" s="10">
        <v>17</v>
      </c>
      <c r="R482" s="12">
        <v>56.43870692414382</v>
      </c>
      <c r="S482" s="12">
        <v>1.813720260322202</v>
      </c>
    </row>
    <row r="483" spans="12:19">
      <c r="L483" t="s">
        <v>83</v>
      </c>
      <c r="M483" s="15">
        <v>45684</v>
      </c>
      <c r="N483" t="b">
        <v>1</v>
      </c>
      <c r="O483" s="10">
        <v>9416</v>
      </c>
      <c r="P483" s="10">
        <v>690</v>
      </c>
      <c r="Q483" s="10">
        <v>21</v>
      </c>
      <c r="R483" s="12">
        <v>73.27952421410366</v>
      </c>
      <c r="S483" s="12">
        <v>2.230246389124894</v>
      </c>
    </row>
    <row r="484" spans="12:19">
      <c r="L484" t="s">
        <v>83</v>
      </c>
      <c r="M484" s="15">
        <v>45691</v>
      </c>
      <c r="N484" t="b">
        <v>0</v>
      </c>
      <c r="O484" s="10">
        <v>9394</v>
      </c>
      <c r="P484" s="10">
        <v>111</v>
      </c>
      <c r="Q484" s="10">
        <v>26</v>
      </c>
      <c r="R484" s="12">
        <v>11.81605279965936</v>
      </c>
      <c r="S484" s="12">
        <v>2.767724079199489</v>
      </c>
    </row>
    <row r="485" spans="12:19">
      <c r="L485" t="s">
        <v>83</v>
      </c>
      <c r="M485" s="15">
        <v>45698</v>
      </c>
      <c r="N485" t="b">
        <v>0</v>
      </c>
      <c r="O485" s="10">
        <v>9391</v>
      </c>
      <c r="P485" s="10">
        <v>180</v>
      </c>
      <c r="Q485" s="10">
        <v>16</v>
      </c>
      <c r="R485" s="12">
        <v>19.16728782877223</v>
      </c>
      <c r="S485" s="12">
        <v>1.703758918113087</v>
      </c>
    </row>
    <row r="486" spans="12:19">
      <c r="L486" t="s">
        <v>83</v>
      </c>
      <c r="M486" s="15">
        <v>45705</v>
      </c>
      <c r="N486" t="b">
        <v>0</v>
      </c>
      <c r="O486" s="10">
        <v>9374</v>
      </c>
      <c r="P486" s="10">
        <v>50</v>
      </c>
      <c r="Q486" s="10">
        <v>22</v>
      </c>
      <c r="R486" s="12">
        <v>5.333902282910177</v>
      </c>
      <c r="S486" s="12">
        <v>2.346917004480478</v>
      </c>
    </row>
    <row r="487" spans="12:19">
      <c r="L487" t="s">
        <v>83</v>
      </c>
      <c r="M487" s="15">
        <v>45712</v>
      </c>
      <c r="N487" t="b">
        <v>0</v>
      </c>
      <c r="O487" s="10">
        <v>9811</v>
      </c>
      <c r="P487" s="10">
        <v>116</v>
      </c>
      <c r="Q487" s="10">
        <v>14</v>
      </c>
      <c r="R487" s="12">
        <v>11.82346345938233</v>
      </c>
      <c r="S487" s="12">
        <v>1.426969727856488</v>
      </c>
    </row>
    <row r="488" spans="12:19">
      <c r="L488" t="s">
        <v>83</v>
      </c>
      <c r="M488" s="15">
        <v>45719</v>
      </c>
      <c r="N488" t="b">
        <v>0</v>
      </c>
      <c r="O488" s="10">
        <v>9408</v>
      </c>
      <c r="P488" s="10">
        <v>253</v>
      </c>
      <c r="Q488" s="10">
        <v>17</v>
      </c>
      <c r="R488" s="12">
        <v>26.89200680272109</v>
      </c>
      <c r="S488" s="12">
        <v>1.806972789115646</v>
      </c>
    </row>
    <row r="489" spans="12:19">
      <c r="L489" t="s">
        <v>83</v>
      </c>
      <c r="M489" s="15">
        <v>45726</v>
      </c>
      <c r="N489" t="b">
        <v>0</v>
      </c>
      <c r="O489" s="10">
        <v>9357</v>
      </c>
      <c r="P489" s="10">
        <v>86</v>
      </c>
      <c r="Q489" s="10">
        <v>44</v>
      </c>
      <c r="R489" s="12">
        <v>9.19098001496206</v>
      </c>
      <c r="S489" s="12">
        <v>4.702361868120124</v>
      </c>
    </row>
    <row r="490" spans="12:19">
      <c r="L490" t="s">
        <v>83</v>
      </c>
      <c r="M490" s="15">
        <v>45733</v>
      </c>
      <c r="N490" t="b">
        <v>0</v>
      </c>
      <c r="O490" s="10">
        <v>9370</v>
      </c>
      <c r="P490" s="10">
        <v>123</v>
      </c>
      <c r="Q490" s="10">
        <v>2</v>
      </c>
      <c r="R490" s="12">
        <v>13.12700106723586</v>
      </c>
      <c r="S490" s="12">
        <v>0.2134471718249733</v>
      </c>
    </row>
    <row r="491" spans="12:19">
      <c r="L491" t="s">
        <v>83</v>
      </c>
      <c r="M491" s="15">
        <v>45740</v>
      </c>
      <c r="N491" t="b">
        <v>0</v>
      </c>
      <c r="O491" s="10">
        <v>9432</v>
      </c>
      <c r="P491" s="10">
        <v>28</v>
      </c>
      <c r="Q491" s="10">
        <v>34</v>
      </c>
      <c r="R491" s="12">
        <v>2.968617472434266</v>
      </c>
      <c r="S491" s="12">
        <v>3.604749787955895</v>
      </c>
    </row>
    <row r="492" spans="12:19">
      <c r="L492" t="s">
        <v>83</v>
      </c>
      <c r="M492" s="15">
        <v>45747</v>
      </c>
      <c r="N492" t="b">
        <v>0</v>
      </c>
      <c r="O492" s="10">
        <v>9468</v>
      </c>
      <c r="P492" s="10">
        <v>94</v>
      </c>
      <c r="Q492" s="10">
        <v>24</v>
      </c>
      <c r="R492" s="12">
        <v>9.928179129700045</v>
      </c>
      <c r="S492" s="12">
        <v>2.534854245880862</v>
      </c>
    </row>
    <row r="493" spans="12:19">
      <c r="L493" t="s">
        <v>83</v>
      </c>
      <c r="M493" s="15">
        <v>45754</v>
      </c>
      <c r="N493" t="b">
        <v>0</v>
      </c>
      <c r="O493" s="10">
        <v>9463</v>
      </c>
      <c r="P493" s="10">
        <v>235</v>
      </c>
      <c r="Q493" s="10">
        <v>92</v>
      </c>
      <c r="R493" s="12">
        <v>24.83356229525521</v>
      </c>
      <c r="S493" s="12">
        <v>9.722075451759483</v>
      </c>
    </row>
    <row r="494" spans="12:19">
      <c r="L494" t="s">
        <v>83</v>
      </c>
      <c r="M494" s="15">
        <v>45761</v>
      </c>
      <c r="N494" t="b">
        <v>0</v>
      </c>
      <c r="O494" s="10">
        <v>9479</v>
      </c>
      <c r="P494" s="10">
        <v>149</v>
      </c>
      <c r="Q494" s="10">
        <v>30</v>
      </c>
      <c r="R494" s="12">
        <v>15.71895769595949</v>
      </c>
      <c r="S494" s="12">
        <v>3.164890811267011</v>
      </c>
    </row>
    <row r="495" spans="12:19">
      <c r="L495" t="s">
        <v>83</v>
      </c>
      <c r="M495" s="15">
        <v>45768</v>
      </c>
      <c r="N495" t="b">
        <v>0</v>
      </c>
      <c r="O495" s="10">
        <v>9493</v>
      </c>
      <c r="P495" s="10">
        <v>229</v>
      </c>
      <c r="Q495" s="10">
        <v>153</v>
      </c>
      <c r="R495" s="12">
        <v>24.12303802802065</v>
      </c>
      <c r="S495" s="12">
        <v>16.11713894448541</v>
      </c>
    </row>
    <row r="496" spans="12:19">
      <c r="L496" t="s">
        <v>83</v>
      </c>
      <c r="M496" s="15">
        <v>45775</v>
      </c>
      <c r="N496" t="b">
        <v>0</v>
      </c>
      <c r="O496" s="10">
        <v>9440</v>
      </c>
      <c r="P496" s="10">
        <v>146</v>
      </c>
      <c r="Q496" s="10">
        <v>182</v>
      </c>
      <c r="R496" s="12">
        <v>15.46610169491525</v>
      </c>
      <c r="S496" s="12">
        <v>19.27966101694915</v>
      </c>
    </row>
    <row r="497" spans="12:19">
      <c r="L497" t="s">
        <v>83</v>
      </c>
      <c r="M497" s="15">
        <v>45782</v>
      </c>
      <c r="N497" t="b">
        <v>0</v>
      </c>
      <c r="O497" s="10">
        <v>9420</v>
      </c>
      <c r="P497" s="10">
        <v>114</v>
      </c>
      <c r="Q497" s="10">
        <v>154</v>
      </c>
      <c r="R497" s="12">
        <v>12.10191082802548</v>
      </c>
      <c r="S497" s="12">
        <v>16.34819532908705</v>
      </c>
    </row>
    <row r="498" spans="12:19">
      <c r="L498" t="s">
        <v>83</v>
      </c>
      <c r="M498" s="15">
        <v>45789</v>
      </c>
      <c r="N498" t="b">
        <v>0</v>
      </c>
      <c r="O498" s="10">
        <v>9436</v>
      </c>
      <c r="P498" s="10">
        <v>142</v>
      </c>
      <c r="Q498" s="10">
        <v>79</v>
      </c>
      <c r="R498" s="12">
        <v>15.04874947011446</v>
      </c>
      <c r="S498" s="12">
        <v>8.372191606612972</v>
      </c>
    </row>
    <row r="499" spans="12:19">
      <c r="L499" t="s">
        <v>83</v>
      </c>
      <c r="M499" s="15">
        <v>45796</v>
      </c>
      <c r="N499" t="b">
        <v>0</v>
      </c>
      <c r="O499" s="10">
        <v>9372</v>
      </c>
      <c r="P499" s="10">
        <v>240</v>
      </c>
      <c r="Q499" s="10">
        <v>22</v>
      </c>
      <c r="R499" s="12">
        <v>25.60819462227913</v>
      </c>
      <c r="S499" s="12">
        <v>2.347417840375587</v>
      </c>
    </row>
    <row r="500" spans="12:19">
      <c r="L500" t="s">
        <v>83</v>
      </c>
      <c r="M500" s="15">
        <v>45803</v>
      </c>
      <c r="N500" t="b">
        <v>0</v>
      </c>
      <c r="O500" s="10">
        <v>9458</v>
      </c>
      <c r="P500" s="10">
        <v>175</v>
      </c>
      <c r="Q500" s="10">
        <v>54</v>
      </c>
      <c r="R500" s="12">
        <v>18.50285472615775</v>
      </c>
      <c r="S500" s="12">
        <v>5.709452315500106</v>
      </c>
    </row>
    <row r="501" spans="12:19">
      <c r="L501" t="s">
        <v>83</v>
      </c>
      <c r="M501" s="15">
        <v>45810</v>
      </c>
      <c r="N501" t="b">
        <v>0</v>
      </c>
      <c r="O501" s="10">
        <v>9429</v>
      </c>
      <c r="P501" s="10">
        <v>113</v>
      </c>
      <c r="Q501" s="10">
        <v>20</v>
      </c>
      <c r="R501" s="12">
        <v>11.98430374376922</v>
      </c>
      <c r="S501" s="12">
        <v>2.121115706861809</v>
      </c>
    </row>
    <row r="502" spans="12:19">
      <c r="L502" t="s">
        <v>83</v>
      </c>
      <c r="M502" s="15">
        <v>45817</v>
      </c>
      <c r="N502" t="b">
        <v>0</v>
      </c>
      <c r="O502" s="10">
        <v>9438</v>
      </c>
      <c r="P502" s="10">
        <v>43</v>
      </c>
      <c r="Q502" s="10">
        <v>32</v>
      </c>
      <c r="R502" s="12">
        <v>4.556050010595465</v>
      </c>
      <c r="S502" s="12">
        <v>3.3905488450943</v>
      </c>
    </row>
    <row r="503" spans="12:19">
      <c r="L503" t="s">
        <v>83</v>
      </c>
      <c r="M503" s="15">
        <v>45824</v>
      </c>
      <c r="N503" t="b">
        <v>0</v>
      </c>
      <c r="O503" s="10">
        <v>9470</v>
      </c>
      <c r="P503" s="10">
        <v>96</v>
      </c>
      <c r="Q503" s="10">
        <v>25</v>
      </c>
      <c r="R503" s="12">
        <v>10.13727560718057</v>
      </c>
      <c r="S503" s="12">
        <v>2.639915522703273</v>
      </c>
    </row>
    <row r="504" spans="12:19">
      <c r="L504" t="s">
        <v>83</v>
      </c>
      <c r="M504" s="15">
        <v>45831</v>
      </c>
      <c r="N504" t="b">
        <v>0</v>
      </c>
      <c r="O504" s="10">
        <v>9498</v>
      </c>
      <c r="P504" s="10">
        <v>58</v>
      </c>
      <c r="Q504" s="10">
        <v>42</v>
      </c>
      <c r="R504" s="12">
        <v>6.106548747104654</v>
      </c>
      <c r="S504" s="12">
        <v>4.421983575489577</v>
      </c>
    </row>
    <row r="505" spans="12:19">
      <c r="L505" t="s">
        <v>83</v>
      </c>
      <c r="M505" s="15">
        <v>45838</v>
      </c>
      <c r="N505" t="b">
        <v>0</v>
      </c>
      <c r="O505" s="10">
        <v>9456</v>
      </c>
      <c r="P505" s="10">
        <v>68</v>
      </c>
      <c r="Q505" s="10">
        <v>4</v>
      </c>
      <c r="R505" s="12">
        <v>7.191201353637902</v>
      </c>
      <c r="S505" s="12">
        <v>0.4230118443316413</v>
      </c>
    </row>
    <row r="506" spans="12:19">
      <c r="L506" t="s">
        <v>83</v>
      </c>
      <c r="M506" s="15">
        <v>45845</v>
      </c>
      <c r="N506" t="b">
        <v>0</v>
      </c>
      <c r="O506" s="10">
        <v>9466</v>
      </c>
      <c r="P506" s="10">
        <v>44</v>
      </c>
      <c r="Q506" s="10">
        <v>17</v>
      </c>
      <c r="R506" s="12">
        <v>4.648214663004437</v>
      </c>
      <c r="S506" s="12">
        <v>1.795901119797169</v>
      </c>
    </row>
    <row r="507" spans="12:19">
      <c r="L507" t="s">
        <v>83</v>
      </c>
      <c r="M507" s="15">
        <v>45852</v>
      </c>
      <c r="N507" t="b">
        <v>0</v>
      </c>
      <c r="O507" s="10">
        <v>9510</v>
      </c>
      <c r="P507" s="10">
        <v>26</v>
      </c>
      <c r="Q507" s="10">
        <v>30</v>
      </c>
      <c r="R507" s="12">
        <v>2.733964248159832</v>
      </c>
      <c r="S507" s="12">
        <v>3.154574132492113</v>
      </c>
    </row>
    <row r="508" spans="12:19">
      <c r="L508" t="s">
        <v>83</v>
      </c>
      <c r="M508" s="15">
        <v>45859</v>
      </c>
      <c r="N508" t="b">
        <v>0</v>
      </c>
      <c r="O508" s="10">
        <v>9499</v>
      </c>
      <c r="P508" s="10">
        <v>12</v>
      </c>
      <c r="Q508" s="10">
        <v>87</v>
      </c>
      <c r="R508" s="12">
        <v>1.263290872723445</v>
      </c>
      <c r="S508" s="12">
        <v>9.158858827244972</v>
      </c>
    </row>
    <row r="509" spans="12:19">
      <c r="L509" t="s">
        <v>83</v>
      </c>
      <c r="M509" s="15">
        <v>45866</v>
      </c>
      <c r="N509" t="b">
        <v>0</v>
      </c>
      <c r="O509" s="10">
        <v>9662</v>
      </c>
      <c r="P509" s="10">
        <v>34</v>
      </c>
      <c r="Q509" s="10">
        <v>15</v>
      </c>
      <c r="R509" s="12">
        <v>3.518940178016974</v>
      </c>
      <c r="S509" s="12">
        <v>1.552473607948665</v>
      </c>
    </row>
    <row r="510" spans="12:19">
      <c r="L510" t="s">
        <v>83</v>
      </c>
      <c r="M510" s="15">
        <v>45873</v>
      </c>
      <c r="N510" t="b">
        <v>0</v>
      </c>
      <c r="O510" s="10">
        <v>9512</v>
      </c>
      <c r="P510" s="10">
        <v>60</v>
      </c>
      <c r="Q510" s="10">
        <v>9</v>
      </c>
      <c r="R510" s="12">
        <v>6.307821698906644</v>
      </c>
      <c r="S510" s="12">
        <v>0.9461732548359968</v>
      </c>
    </row>
    <row r="511" spans="12:19">
      <c r="L511" t="s">
        <v>83</v>
      </c>
      <c r="M511" s="15">
        <v>45894</v>
      </c>
      <c r="N511" t="b">
        <v>0</v>
      </c>
      <c r="O511" s="10">
        <v>9410</v>
      </c>
      <c r="P511" s="10">
        <v>1</v>
      </c>
      <c r="Q511" s="10">
        <v>0</v>
      </c>
      <c r="R511" s="12">
        <v>0.106269925611052</v>
      </c>
      <c r="S511" s="12">
        <v>0</v>
      </c>
    </row>
    <row r="512" spans="12:19">
      <c r="L512" t="s">
        <v>83</v>
      </c>
      <c r="M512" s="15">
        <v>45901</v>
      </c>
      <c r="N512" t="b">
        <v>0</v>
      </c>
      <c r="O512" s="10">
        <v>9510</v>
      </c>
      <c r="P512" s="10">
        <v>39</v>
      </c>
      <c r="Q512" s="10">
        <v>8</v>
      </c>
      <c r="R512" s="12">
        <v>4.100946372239748</v>
      </c>
      <c r="S512" s="12">
        <v>0.8412197686645636</v>
      </c>
    </row>
    <row r="513" spans="12:19">
      <c r="L513" t="s">
        <v>83</v>
      </c>
      <c r="M513" s="15">
        <v>45908</v>
      </c>
      <c r="N513" t="b">
        <v>0</v>
      </c>
      <c r="O513" s="10">
        <v>9542</v>
      </c>
      <c r="P513" s="10">
        <v>66</v>
      </c>
      <c r="Q513" s="10">
        <v>26</v>
      </c>
      <c r="R513" s="12">
        <v>6.916788933137707</v>
      </c>
      <c r="S513" s="12">
        <v>2.724795640326976</v>
      </c>
    </row>
    <row r="514" spans="12:19">
      <c r="L514" t="s">
        <v>83</v>
      </c>
      <c r="M514" s="15">
        <v>45915</v>
      </c>
      <c r="N514" t="b">
        <v>0</v>
      </c>
      <c r="O514" s="10">
        <v>9444</v>
      </c>
      <c r="P514" s="10">
        <v>53</v>
      </c>
      <c r="Q514" s="10">
        <v>39</v>
      </c>
      <c r="R514" s="12">
        <v>5.612028801355358</v>
      </c>
      <c r="S514" s="12">
        <v>4.129606099110546</v>
      </c>
    </row>
    <row r="515" spans="12:19">
      <c r="L515" t="s">
        <v>83</v>
      </c>
      <c r="M515" s="15">
        <v>45922</v>
      </c>
      <c r="N515" t="b">
        <v>0</v>
      </c>
      <c r="O515" s="10">
        <v>9654</v>
      </c>
      <c r="P515" s="10">
        <v>17</v>
      </c>
      <c r="Q515" s="10">
        <v>17</v>
      </c>
      <c r="R515" s="12">
        <v>1.760928112699399</v>
      </c>
      <c r="S515" s="12">
        <v>1.760928112699399</v>
      </c>
    </row>
    <row r="516" spans="12:19">
      <c r="L516" t="s">
        <v>83</v>
      </c>
      <c r="M516" s="15">
        <v>45929</v>
      </c>
      <c r="N516" t="b">
        <v>0</v>
      </c>
      <c r="O516" s="10">
        <v>9595</v>
      </c>
      <c r="P516" s="10">
        <v>24</v>
      </c>
      <c r="Q516" s="10">
        <v>42</v>
      </c>
      <c r="R516" s="12">
        <v>2.501302761855133</v>
      </c>
      <c r="S516" s="12">
        <v>4.377279833246482</v>
      </c>
    </row>
    <row r="517" spans="12:19">
      <c r="L517" t="s">
        <v>83</v>
      </c>
      <c r="M517" s="15">
        <v>45936</v>
      </c>
      <c r="N517" t="b">
        <v>0</v>
      </c>
      <c r="O517" s="10">
        <v>9588</v>
      </c>
      <c r="P517" s="10">
        <v>131</v>
      </c>
      <c r="Q517" s="10">
        <v>41</v>
      </c>
      <c r="R517" s="12">
        <v>13.66291197329996</v>
      </c>
      <c r="S517" s="12">
        <v>4.276178556528994</v>
      </c>
    </row>
    <row r="518" spans="12:19">
      <c r="L518" t="s">
        <v>83</v>
      </c>
      <c r="M518" s="15">
        <v>45943</v>
      </c>
      <c r="N518" t="b">
        <v>0</v>
      </c>
      <c r="O518" s="10">
        <v>9635</v>
      </c>
      <c r="P518" s="10">
        <v>44</v>
      </c>
      <c r="Q518" s="10">
        <v>66</v>
      </c>
      <c r="R518" s="12">
        <v>4.566683964711988</v>
      </c>
      <c r="S518" s="12">
        <v>6.850025947067981</v>
      </c>
    </row>
    <row r="519" spans="12:19">
      <c r="L519" t="s">
        <v>83</v>
      </c>
      <c r="M519" s="15">
        <v>45950</v>
      </c>
      <c r="N519" t="b">
        <v>0</v>
      </c>
      <c r="O519" s="10">
        <v>9669</v>
      </c>
      <c r="P519" s="10">
        <v>154</v>
      </c>
      <c r="Q519" s="10">
        <v>61</v>
      </c>
      <c r="R519" s="12">
        <v>15.92718998862344</v>
      </c>
      <c r="S519" s="12">
        <v>6.308822008480711</v>
      </c>
    </row>
    <row r="520" spans="12:19">
      <c r="L520" t="s">
        <v>83</v>
      </c>
      <c r="M520" s="15">
        <v>45957</v>
      </c>
      <c r="N520" t="b">
        <v>0</v>
      </c>
      <c r="O520" s="10">
        <v>9647</v>
      </c>
      <c r="P520" s="10">
        <v>70</v>
      </c>
      <c r="Q520" s="10">
        <v>15</v>
      </c>
      <c r="R520" s="12">
        <v>7.256141805742718</v>
      </c>
      <c r="S520" s="12">
        <v>1.554887529802011</v>
      </c>
    </row>
    <row r="521" spans="12:19">
      <c r="L521" t="s">
        <v>83</v>
      </c>
      <c r="M521" s="15">
        <v>45964</v>
      </c>
      <c r="N521" t="b">
        <v>1</v>
      </c>
      <c r="O521" s="10">
        <v>9599</v>
      </c>
      <c r="P521" s="10">
        <v>70</v>
      </c>
      <c r="Q521" s="10">
        <v>43</v>
      </c>
      <c r="R521" s="12">
        <v>7.292426294405668</v>
      </c>
      <c r="S521" s="12">
        <v>4.47963329513491</v>
      </c>
    </row>
    <row r="522" spans="12:19">
      <c r="L522" t="s">
        <v>83</v>
      </c>
      <c r="M522" s="15">
        <v>45971</v>
      </c>
      <c r="N522" t="b">
        <v>1</v>
      </c>
      <c r="O522" s="10">
        <v>9541</v>
      </c>
      <c r="P522" s="10">
        <v>35</v>
      </c>
      <c r="Q522" s="10">
        <v>23</v>
      </c>
      <c r="R522" s="12">
        <v>3.668378576669112</v>
      </c>
      <c r="S522" s="12">
        <v>2.410648778953988</v>
      </c>
    </row>
    <row r="523" spans="12:19">
      <c r="L523" t="s">
        <v>83</v>
      </c>
      <c r="M523" s="15">
        <v>45978</v>
      </c>
      <c r="N523" t="b">
        <v>1</v>
      </c>
      <c r="O523" s="10">
        <v>9631</v>
      </c>
      <c r="P523" s="10">
        <v>406</v>
      </c>
      <c r="Q523" s="10">
        <v>37</v>
      </c>
      <c r="R523" s="12">
        <v>42.15553940400789</v>
      </c>
      <c r="S523" s="12">
        <v>3.841760980168207</v>
      </c>
    </row>
    <row r="524" spans="12:19">
      <c r="L524" t="s">
        <v>83</v>
      </c>
      <c r="M524" s="15">
        <v>45985</v>
      </c>
      <c r="N524" t="b">
        <v>1</v>
      </c>
      <c r="O524" s="10">
        <v>9688</v>
      </c>
      <c r="P524" s="10">
        <v>46</v>
      </c>
      <c r="Q524" s="10">
        <v>40</v>
      </c>
      <c r="R524" s="12">
        <v>4.748142031379025</v>
      </c>
      <c r="S524" s="12">
        <v>4.128819157720892</v>
      </c>
    </row>
    <row r="525" spans="12:19">
      <c r="L525" t="s">
        <v>83</v>
      </c>
      <c r="M525" s="15">
        <v>45992</v>
      </c>
      <c r="N525" t="b">
        <v>1</v>
      </c>
      <c r="O525" s="10">
        <v>9682</v>
      </c>
      <c r="P525" s="10">
        <v>17</v>
      </c>
      <c r="Q525" s="10">
        <v>7</v>
      </c>
      <c r="R525" s="12">
        <v>1.755835571162983</v>
      </c>
      <c r="S525" s="12">
        <v>0.7229911175376988</v>
      </c>
    </row>
    <row r="526" spans="12:19">
      <c r="L526" t="s">
        <v>83</v>
      </c>
      <c r="M526" s="15">
        <v>45999</v>
      </c>
      <c r="N526" t="b">
        <v>1</v>
      </c>
      <c r="O526" s="10">
        <v>9650</v>
      </c>
      <c r="P526" s="10">
        <v>24</v>
      </c>
      <c r="Q526" s="10">
        <v>12</v>
      </c>
      <c r="R526" s="12">
        <v>2.487046632124352</v>
      </c>
      <c r="S526" s="12">
        <v>1.243523316062176</v>
      </c>
    </row>
    <row r="527" spans="12:19">
      <c r="L527" t="s">
        <v>83</v>
      </c>
      <c r="M527" s="15">
        <v>46006</v>
      </c>
      <c r="N527" t="b">
        <v>1</v>
      </c>
      <c r="O527" s="10">
        <v>9651</v>
      </c>
      <c r="P527" s="10">
        <v>0</v>
      </c>
      <c r="Q527" s="10">
        <v>8</v>
      </c>
      <c r="R527" s="12">
        <v>0</v>
      </c>
      <c r="S527" s="12">
        <v>0.8289296445964148</v>
      </c>
    </row>
    <row r="528" spans="12:19">
      <c r="L528" t="s">
        <v>83</v>
      </c>
      <c r="M528" s="15">
        <v>46013</v>
      </c>
      <c r="N528" t="b">
        <v>1</v>
      </c>
      <c r="O528" s="10">
        <v>9614</v>
      </c>
      <c r="P528" s="10">
        <v>92</v>
      </c>
      <c r="Q528" s="10">
        <v>15</v>
      </c>
      <c r="R528" s="12">
        <v>9.569377990430622</v>
      </c>
      <c r="S528" s="12">
        <v>1.560224672352819</v>
      </c>
    </row>
    <row r="529" spans="12:19">
      <c r="L529" t="s">
        <v>83</v>
      </c>
      <c r="M529" s="15">
        <v>46020</v>
      </c>
      <c r="N529" t="b">
        <v>1</v>
      </c>
      <c r="O529" s="10">
        <v>9567</v>
      </c>
      <c r="P529" s="10">
        <v>17</v>
      </c>
      <c r="Q529" s="10">
        <v>14</v>
      </c>
      <c r="R529" s="12">
        <v>1.77694156998014</v>
      </c>
      <c r="S529" s="12">
        <v>1.463363645865998</v>
      </c>
    </row>
    <row r="530" spans="12:19">
      <c r="L530" t="s">
        <v>83</v>
      </c>
      <c r="M530" s="15">
        <v>46027</v>
      </c>
      <c r="N530" t="b">
        <v>1</v>
      </c>
      <c r="O530" s="10">
        <v>9459</v>
      </c>
      <c r="P530" s="10">
        <v>38</v>
      </c>
      <c r="Q530" s="10">
        <v>53</v>
      </c>
      <c r="R530" s="12">
        <v>4.017337984987842</v>
      </c>
      <c r="S530" s="12">
        <v>5.603129294851464</v>
      </c>
    </row>
    <row r="531" spans="12:19">
      <c r="L531" t="s">
        <v>83</v>
      </c>
      <c r="M531" s="15">
        <v>46034</v>
      </c>
      <c r="N531" t="b">
        <v>1</v>
      </c>
      <c r="O531" s="10">
        <v>9474</v>
      </c>
      <c r="P531" s="10">
        <v>269</v>
      </c>
      <c r="Q531" s="10">
        <v>6</v>
      </c>
      <c r="R531" s="12">
        <v>28.39349799451129</v>
      </c>
      <c r="S531" s="12">
        <v>0.6333122229259025</v>
      </c>
    </row>
    <row r="532" spans="12:19">
      <c r="L532" t="s">
        <v>83</v>
      </c>
      <c r="M532" s="15">
        <v>46041</v>
      </c>
      <c r="N532" t="b">
        <v>1</v>
      </c>
      <c r="O532" s="10">
        <v>9494</v>
      </c>
      <c r="P532" s="10">
        <v>196</v>
      </c>
      <c r="Q532" s="10">
        <v>4</v>
      </c>
      <c r="R532" s="12">
        <v>20.64461765325469</v>
      </c>
      <c r="S532" s="12">
        <v>0.4213187276174426</v>
      </c>
    </row>
    <row r="533" spans="12:19">
      <c r="L533" t="s">
        <v>83</v>
      </c>
      <c r="M533" s="15">
        <v>46048</v>
      </c>
      <c r="N533" t="b">
        <v>1</v>
      </c>
      <c r="O533" s="10">
        <v>9534</v>
      </c>
      <c r="P533" s="10">
        <v>912</v>
      </c>
      <c r="Q533" s="10">
        <v>10</v>
      </c>
      <c r="R533" s="12">
        <v>95.65764631843928</v>
      </c>
      <c r="S533" s="12">
        <v>1.04887770086008</v>
      </c>
    </row>
    <row r="534" spans="12:19">
      <c r="L534" t="s">
        <v>83</v>
      </c>
      <c r="M534" s="15">
        <v>46055</v>
      </c>
      <c r="N534" t="b">
        <v>1</v>
      </c>
      <c r="O534" s="10">
        <v>9512</v>
      </c>
      <c r="P534" s="10">
        <v>312</v>
      </c>
      <c r="Q534" s="10">
        <v>4</v>
      </c>
      <c r="R534" s="12">
        <v>32.80067283431455</v>
      </c>
      <c r="S534" s="12">
        <v>0.4205214465937762</v>
      </c>
    </row>
    <row r="535" spans="12:19">
      <c r="L535" t="s">
        <v>83</v>
      </c>
      <c r="M535" s="15">
        <v>46062</v>
      </c>
      <c r="N535" t="b">
        <v>0</v>
      </c>
      <c r="O535" s="10">
        <v>9469</v>
      </c>
      <c r="P535" s="10">
        <v>183</v>
      </c>
      <c r="Q535" s="10">
        <v>10</v>
      </c>
      <c r="R535" s="12">
        <v>19.32622240996937</v>
      </c>
      <c r="S535" s="12">
        <v>1.056077727320731</v>
      </c>
    </row>
    <row r="536" spans="12:19">
      <c r="L536" t="s">
        <v>83</v>
      </c>
      <c r="M536" s="15">
        <v>46069</v>
      </c>
      <c r="N536" t="b">
        <v>0</v>
      </c>
      <c r="O536" s="10">
        <v>9414</v>
      </c>
      <c r="P536" s="10">
        <v>122</v>
      </c>
      <c r="Q536" s="10">
        <v>7</v>
      </c>
      <c r="R536" s="12">
        <v>12.9594221372424</v>
      </c>
      <c r="S536" s="12">
        <v>0.7435734013171872</v>
      </c>
    </row>
    <row r="537" spans="12:19">
      <c r="L537" t="s">
        <v>83</v>
      </c>
      <c r="M537" s="15">
        <v>46076</v>
      </c>
      <c r="N537" t="b">
        <v>0</v>
      </c>
      <c r="O537" s="10">
        <v>9517</v>
      </c>
      <c r="P537" s="10">
        <v>75</v>
      </c>
      <c r="Q537" s="10">
        <v>23</v>
      </c>
      <c r="R537" s="12">
        <v>7.88063465377745</v>
      </c>
      <c r="S537" s="12">
        <v>2.416727960491752</v>
      </c>
    </row>
    <row r="538" spans="12:19">
      <c r="L538" t="s">
        <v>83</v>
      </c>
      <c r="M538" s="15">
        <v>46083</v>
      </c>
      <c r="N538" t="b">
        <v>0</v>
      </c>
      <c r="O538" s="10">
        <v>9501</v>
      </c>
      <c r="P538" s="10">
        <v>135</v>
      </c>
      <c r="Q538" s="10">
        <v>24</v>
      </c>
      <c r="R538" s="12">
        <v>14.20903062835491</v>
      </c>
      <c r="S538" s="12">
        <v>2.526049889485317</v>
      </c>
    </row>
    <row r="539" spans="12:19">
      <c r="L539" t="s">
        <v>83</v>
      </c>
      <c r="M539" s="15">
        <v>46090</v>
      </c>
      <c r="N539" t="b">
        <v>0</v>
      </c>
      <c r="O539" s="10">
        <v>9535</v>
      </c>
      <c r="P539" s="10">
        <v>41</v>
      </c>
      <c r="Q539" s="10">
        <v>12</v>
      </c>
      <c r="R539" s="12">
        <v>4.299947561615102</v>
      </c>
      <c r="S539" s="12">
        <v>1.258521237545884</v>
      </c>
    </row>
    <row r="540" spans="12:19">
      <c r="L540" t="s">
        <v>83</v>
      </c>
      <c r="M540" s="15">
        <v>46097</v>
      </c>
      <c r="N540" t="b">
        <v>0</v>
      </c>
      <c r="O540" s="10">
        <v>9469</v>
      </c>
      <c r="P540" s="10">
        <v>27</v>
      </c>
      <c r="Q540" s="10">
        <v>29</v>
      </c>
      <c r="R540" s="12">
        <v>2.851409863765973</v>
      </c>
      <c r="S540" s="12">
        <v>3.06262540923012</v>
      </c>
    </row>
    <row r="541" spans="12:19">
      <c r="L541" t="s">
        <v>83</v>
      </c>
      <c r="M541" s="15">
        <v>46104</v>
      </c>
      <c r="N541" t="b">
        <v>0</v>
      </c>
      <c r="O541" s="10">
        <v>9521</v>
      </c>
      <c r="P541" s="10">
        <v>21</v>
      </c>
      <c r="Q541" s="10">
        <v>11</v>
      </c>
      <c r="R541" s="12">
        <v>2.205650666946749</v>
      </c>
      <c r="S541" s="12">
        <v>1.155340825543535</v>
      </c>
    </row>
    <row r="542" spans="12:19">
      <c r="L542" t="s">
        <v>83</v>
      </c>
      <c r="M542" s="15">
        <v>46111</v>
      </c>
      <c r="N542" t="b">
        <v>0</v>
      </c>
      <c r="O542" s="10">
        <v>9603</v>
      </c>
      <c r="P542" s="10">
        <v>30</v>
      </c>
      <c r="Q542" s="10">
        <v>12</v>
      </c>
      <c r="R542" s="12">
        <v>3.124023742580444</v>
      </c>
      <c r="S542" s="12">
        <v>1.249609497032177</v>
      </c>
    </row>
    <row r="543" spans="12:19">
      <c r="L543" t="s">
        <v>83</v>
      </c>
      <c r="M543" s="15">
        <v>46118</v>
      </c>
      <c r="N543" t="b">
        <v>0</v>
      </c>
      <c r="O543" s="10">
        <v>9575</v>
      </c>
      <c r="P543" s="10">
        <v>29</v>
      </c>
      <c r="Q543" s="10">
        <v>28</v>
      </c>
      <c r="R543" s="12">
        <v>3.028720626631854</v>
      </c>
      <c r="S543" s="12">
        <v>2.924281984334204</v>
      </c>
    </row>
    <row r="544" spans="12:19">
      <c r="L544" t="s">
        <v>83</v>
      </c>
      <c r="M544" s="15">
        <v>46125</v>
      </c>
      <c r="N544" t="b">
        <v>0</v>
      </c>
      <c r="O544" s="10">
        <v>9484</v>
      </c>
      <c r="P544" s="10">
        <v>75</v>
      </c>
      <c r="Q544" s="10">
        <v>30</v>
      </c>
      <c r="R544" s="12">
        <v>7.908055672711936</v>
      </c>
      <c r="S544" s="12">
        <v>3.163222269084774</v>
      </c>
    </row>
    <row r="545" spans="12:19">
      <c r="L545" t="s">
        <v>83</v>
      </c>
      <c r="M545" s="15">
        <v>46132</v>
      </c>
      <c r="N545" t="b">
        <v>0</v>
      </c>
      <c r="O545" s="10">
        <v>9438</v>
      </c>
      <c r="P545" s="10">
        <v>23</v>
      </c>
      <c r="Q545" s="10">
        <v>12</v>
      </c>
      <c r="R545" s="12">
        <v>2.436956982411528</v>
      </c>
      <c r="S545" s="12">
        <v>1.271455816910362</v>
      </c>
    </row>
    <row r="546" spans="12:19">
      <c r="L546" t="s">
        <v>83</v>
      </c>
      <c r="M546" s="15">
        <v>46139</v>
      </c>
      <c r="N546" t="b">
        <v>0</v>
      </c>
      <c r="O546" s="10">
        <v>9471</v>
      </c>
      <c r="P546" s="10">
        <v>44</v>
      </c>
      <c r="Q546" s="10">
        <v>7</v>
      </c>
      <c r="R546" s="12">
        <v>4.645760743321719</v>
      </c>
      <c r="S546" s="12">
        <v>0.7390983000739099</v>
      </c>
    </row>
    <row r="547" spans="12:19">
      <c r="L547" t="s">
        <v>83</v>
      </c>
      <c r="M547" s="15">
        <v>46146</v>
      </c>
      <c r="N547" t="b">
        <v>0</v>
      </c>
      <c r="O547" s="10">
        <v>9470</v>
      </c>
      <c r="P547" s="10">
        <v>35</v>
      </c>
      <c r="Q547" s="10">
        <v>20</v>
      </c>
      <c r="R547" s="12">
        <v>3.695881731784583</v>
      </c>
      <c r="S547" s="12">
        <v>2.111932418162619</v>
      </c>
    </row>
    <row r="548" spans="12:19">
      <c r="L548" t="s">
        <v>83</v>
      </c>
      <c r="M548" s="15">
        <v>46153</v>
      </c>
      <c r="N548" t="b">
        <v>0</v>
      </c>
      <c r="O548" s="10">
        <v>9470</v>
      </c>
      <c r="P548" s="10">
        <v>70</v>
      </c>
      <c r="Q548" s="10">
        <v>55</v>
      </c>
      <c r="R548" s="12">
        <v>7.391763463569165</v>
      </c>
      <c r="S548" s="12">
        <v>5.807814149947202</v>
      </c>
    </row>
    <row r="549" spans="12:19">
      <c r="L549" t="s">
        <v>83</v>
      </c>
      <c r="M549" s="15">
        <v>46160</v>
      </c>
      <c r="N549" t="b">
        <v>0</v>
      </c>
      <c r="O549" s="10">
        <v>9462</v>
      </c>
      <c r="P549" s="10">
        <v>17</v>
      </c>
      <c r="Q549" s="10">
        <v>1788</v>
      </c>
      <c r="R549" s="12">
        <v>1.796660325512577</v>
      </c>
      <c r="S549" s="12">
        <v>188.9663918833228</v>
      </c>
    </row>
    <row r="550" spans="12:19">
      <c r="L550" t="s">
        <v>83</v>
      </c>
      <c r="M550" s="15">
        <v>46167</v>
      </c>
      <c r="N550" t="b">
        <v>0</v>
      </c>
      <c r="O550" s="10">
        <v>9130</v>
      </c>
      <c r="P550" s="10">
        <v>929</v>
      </c>
      <c r="Q550" s="10">
        <v>669</v>
      </c>
      <c r="R550" s="12">
        <v>101.7524644030668</v>
      </c>
      <c r="S550" s="12">
        <v>73.2749178532311</v>
      </c>
    </row>
    <row r="551" spans="12:19">
      <c r="L551" t="s">
        <v>83</v>
      </c>
      <c r="M551" s="15">
        <v>46174</v>
      </c>
      <c r="N551" t="b">
        <v>0</v>
      </c>
      <c r="O551" s="10">
        <v>8934</v>
      </c>
      <c r="P551" s="10">
        <v>899</v>
      </c>
      <c r="Q551" s="10">
        <v>573</v>
      </c>
      <c r="R551" s="12">
        <v>100.6268188941124</v>
      </c>
      <c r="S551" s="12">
        <v>64.13700470114171</v>
      </c>
    </row>
    <row r="552" spans="12:19">
      <c r="L552" t="s">
        <v>83</v>
      </c>
      <c r="M552" s="15">
        <v>46181</v>
      </c>
      <c r="N552" t="b">
        <v>0</v>
      </c>
      <c r="O552" s="10">
        <v>8939</v>
      </c>
      <c r="P552" s="10">
        <v>986</v>
      </c>
      <c r="Q552" s="10">
        <v>617</v>
      </c>
      <c r="R552" s="12">
        <v>110.3031659022262</v>
      </c>
      <c r="S552" s="12">
        <v>69.0233806913525</v>
      </c>
    </row>
    <row r="553" spans="12:19">
      <c r="L553" t="s">
        <v>83</v>
      </c>
      <c r="M553" s="15">
        <v>46188</v>
      </c>
      <c r="N553" t="b">
        <v>0</v>
      </c>
      <c r="O553" s="10">
        <v>9032</v>
      </c>
      <c r="P553" s="10">
        <v>1092</v>
      </c>
      <c r="Q553" s="10">
        <v>760</v>
      </c>
      <c r="R553" s="12">
        <v>120.903454384411</v>
      </c>
      <c r="S553" s="12">
        <v>84.1452612931798</v>
      </c>
    </row>
    <row r="554" spans="12:19">
      <c r="L554" t="s">
        <v>83</v>
      </c>
      <c r="M554" s="15">
        <v>46195</v>
      </c>
      <c r="N554" t="b">
        <v>0</v>
      </c>
      <c r="O554" s="10">
        <v>9029</v>
      </c>
      <c r="P554" s="10">
        <v>909</v>
      </c>
      <c r="Q554" s="10">
        <v>552</v>
      </c>
      <c r="R554" s="12">
        <v>100.6756008417322</v>
      </c>
      <c r="S554" s="12">
        <v>61.13633846494629</v>
      </c>
    </row>
    <row r="555" spans="12:19">
      <c r="L555" t="s">
        <v>83</v>
      </c>
      <c r="M555" s="15">
        <v>46202</v>
      </c>
      <c r="N555" t="b">
        <v>0</v>
      </c>
      <c r="O555" s="10">
        <v>8920</v>
      </c>
      <c r="P555" s="10">
        <v>1302</v>
      </c>
      <c r="Q555" s="10">
        <v>632</v>
      </c>
      <c r="R555" s="12">
        <v>145.9641255605381</v>
      </c>
      <c r="S555" s="12">
        <v>70.85201793721973</v>
      </c>
    </row>
    <row r="556" spans="12:19">
      <c r="L556" t="s">
        <v>83</v>
      </c>
      <c r="M556" s="15">
        <v>46209</v>
      </c>
      <c r="N556" t="b">
        <v>0</v>
      </c>
      <c r="O556" s="10">
        <v>8903</v>
      </c>
      <c r="P556" s="10">
        <v>831</v>
      </c>
      <c r="Q556" s="10">
        <v>408</v>
      </c>
      <c r="R556" s="12">
        <v>93.33932382343031</v>
      </c>
      <c r="S556" s="12">
        <v>45.8272492418286</v>
      </c>
    </row>
    <row r="557" spans="12:19">
      <c r="L557" t="s">
        <v>83</v>
      </c>
      <c r="M557" s="15">
        <v>46216</v>
      </c>
      <c r="N557" t="b">
        <v>0</v>
      </c>
      <c r="O557" s="10">
        <v>8963</v>
      </c>
      <c r="P557" s="10">
        <v>852</v>
      </c>
      <c r="Q557" s="10">
        <v>672</v>
      </c>
      <c r="R557" s="12">
        <v>95.05745844025438</v>
      </c>
      <c r="S557" s="12">
        <v>74.97489679794711</v>
      </c>
    </row>
    <row r="558" spans="12:19">
      <c r="L558" t="s">
        <v>83</v>
      </c>
      <c r="M558" s="15">
        <v>46223</v>
      </c>
      <c r="N558" t="b">
        <v>0</v>
      </c>
      <c r="O558" s="10">
        <v>8906</v>
      </c>
      <c r="P558" s="10">
        <v>861</v>
      </c>
      <c r="Q558" s="10">
        <v>587</v>
      </c>
      <c r="R558" s="12">
        <v>96.6763979339771</v>
      </c>
      <c r="S558" s="12">
        <v>65.91062205254885</v>
      </c>
    </row>
    <row r="559" spans="12:19">
      <c r="L559" t="s">
        <v>83</v>
      </c>
      <c r="M559" s="15">
        <v>46230</v>
      </c>
      <c r="N559" t="b">
        <v>0</v>
      </c>
      <c r="O559" s="10">
        <v>8879</v>
      </c>
      <c r="P559" s="10">
        <v>903</v>
      </c>
      <c r="Q559" s="10">
        <v>616</v>
      </c>
      <c r="R559" s="12">
        <v>101.7006419641852</v>
      </c>
      <c r="S559" s="12">
        <v>69.37718211510305</v>
      </c>
    </row>
    <row r="560" spans="12:19">
      <c r="L560" t="s">
        <v>83</v>
      </c>
      <c r="M560" s="15">
        <v>46237</v>
      </c>
      <c r="N560" t="b">
        <v>0</v>
      </c>
      <c r="O560" s="10">
        <v>8809</v>
      </c>
      <c r="P560" s="10">
        <v>1064</v>
      </c>
      <c r="Q560" s="10">
        <v>554</v>
      </c>
      <c r="R560" s="12">
        <v>120.7855602224997</v>
      </c>
      <c r="S560" s="12">
        <v>62.8902259053241</v>
      </c>
    </row>
    <row r="561" spans="12:19">
      <c r="L561" t="s">
        <v>83</v>
      </c>
      <c r="M561" s="15">
        <v>46244</v>
      </c>
      <c r="N561" t="b">
        <v>0</v>
      </c>
      <c r="O561" s="10">
        <v>8808</v>
      </c>
      <c r="P561" s="10">
        <v>992</v>
      </c>
      <c r="Q561" s="10">
        <v>569</v>
      </c>
      <c r="R561" s="12">
        <v>112.6248864668483</v>
      </c>
      <c r="S561" s="12">
        <v>64.60036330608537</v>
      </c>
    </row>
    <row r="562" spans="12:19">
      <c r="L562" t="s">
        <v>83</v>
      </c>
      <c r="M562" s="15">
        <v>46251</v>
      </c>
      <c r="N562" t="b">
        <v>0</v>
      </c>
      <c r="O562" s="10">
        <v>8859</v>
      </c>
      <c r="P562" s="10">
        <v>831</v>
      </c>
      <c r="Q562" s="10">
        <v>715</v>
      </c>
      <c r="R562" s="12">
        <v>93.8029122925838</v>
      </c>
      <c r="S562" s="12">
        <v>80.7088836211762</v>
      </c>
    </row>
    <row r="563" spans="12:19">
      <c r="L563" t="s">
        <v>83</v>
      </c>
      <c r="M563" s="15">
        <v>46258</v>
      </c>
      <c r="N563" t="b">
        <v>0</v>
      </c>
      <c r="O563" s="10">
        <v>8859</v>
      </c>
      <c r="P563" s="10">
        <v>859</v>
      </c>
      <c r="Q563" s="10">
        <v>426</v>
      </c>
      <c r="R563" s="12">
        <v>96.9635399029236</v>
      </c>
      <c r="S563" s="12">
        <v>48.08669150016932</v>
      </c>
    </row>
    <row r="564" spans="12:19">
      <c r="L564" t="s">
        <v>83</v>
      </c>
      <c r="M564" s="15">
        <v>46265</v>
      </c>
      <c r="N564" t="b">
        <v>0</v>
      </c>
      <c r="O564" s="10">
        <v>8889</v>
      </c>
      <c r="P564" s="10">
        <v>715</v>
      </c>
      <c r="Q564" s="10">
        <v>685</v>
      </c>
      <c r="R564" s="12">
        <v>80.4364945438182</v>
      </c>
      <c r="S564" s="12">
        <v>77.06153673079086</v>
      </c>
    </row>
    <row r="565" spans="12:19">
      <c r="L565" t="s">
        <v>83</v>
      </c>
      <c r="M565" s="15">
        <v>46272</v>
      </c>
      <c r="N565" t="b">
        <v>0</v>
      </c>
      <c r="O565" s="10">
        <v>9067</v>
      </c>
      <c r="P565" s="10">
        <v>1118</v>
      </c>
      <c r="Q565" s="10">
        <v>683</v>
      </c>
      <c r="R565" s="12">
        <v>123.3042902834455</v>
      </c>
      <c r="S565" s="12">
        <v>75.32811293702437</v>
      </c>
    </row>
    <row r="566" spans="12:19">
      <c r="L566" t="s">
        <v>83</v>
      </c>
      <c r="M566" s="15">
        <v>46279</v>
      </c>
      <c r="N566" t="b">
        <v>0</v>
      </c>
      <c r="O566" s="10">
        <v>9000</v>
      </c>
      <c r="P566" s="10">
        <v>1110</v>
      </c>
      <c r="Q566" s="10">
        <v>625</v>
      </c>
      <c r="R566" s="12">
        <v>123.3333333333333</v>
      </c>
      <c r="S566" s="12">
        <v>69.44444444444444</v>
      </c>
    </row>
    <row r="567" spans="12:19">
      <c r="L567" t="s">
        <v>83</v>
      </c>
      <c r="M567" s="15">
        <v>46286</v>
      </c>
      <c r="N567" t="b">
        <v>0</v>
      </c>
      <c r="O567" s="10">
        <v>9048</v>
      </c>
      <c r="P567" s="10">
        <v>842</v>
      </c>
      <c r="Q567" s="10">
        <v>613</v>
      </c>
      <c r="R567" s="12">
        <v>93.05923961096374</v>
      </c>
      <c r="S567" s="12">
        <v>67.74977895667551</v>
      </c>
    </row>
    <row r="568" spans="12:19">
      <c r="L568" t="s">
        <v>83</v>
      </c>
      <c r="M568" s="15">
        <v>46293</v>
      </c>
      <c r="N568" t="b">
        <v>0</v>
      </c>
      <c r="O568" s="10">
        <v>9065</v>
      </c>
      <c r="P568" s="10">
        <v>1092</v>
      </c>
      <c r="Q568" s="10">
        <v>1085</v>
      </c>
      <c r="R568" s="12">
        <v>120.4633204633205</v>
      </c>
      <c r="S568" s="12">
        <v>119.6911196911197</v>
      </c>
    </row>
    <row r="569" spans="12:19">
      <c r="L569" t="s">
        <v>83</v>
      </c>
      <c r="M569" s="15">
        <v>46300</v>
      </c>
      <c r="N569" t="b">
        <v>0</v>
      </c>
      <c r="O569" s="10">
        <v>8959</v>
      </c>
      <c r="P569" s="10">
        <v>1512</v>
      </c>
      <c r="Q569" s="10">
        <v>1208</v>
      </c>
      <c r="R569" s="12">
        <v>168.7688358075678</v>
      </c>
      <c r="S569" s="12">
        <v>134.8364772854113</v>
      </c>
    </row>
    <row r="570" spans="12:19">
      <c r="L570" t="s">
        <v>68</v>
      </c>
      <c r="M570" s="15">
        <v>45488</v>
      </c>
      <c r="N570" t="b">
        <v>0</v>
      </c>
      <c r="O570" s="10">
        <v>5231</v>
      </c>
      <c r="P570" s="10">
        <v>76</v>
      </c>
      <c r="Q570" s="10">
        <v>60</v>
      </c>
      <c r="R570" s="12">
        <v>14.52877078952399</v>
      </c>
      <c r="S570" s="12">
        <v>11.47008220225578</v>
      </c>
    </row>
    <row r="571" spans="12:19">
      <c r="L571" t="s">
        <v>68</v>
      </c>
      <c r="M571" s="15">
        <v>45495</v>
      </c>
      <c r="N571" t="b">
        <v>0</v>
      </c>
      <c r="O571" s="10">
        <v>5429</v>
      </c>
      <c r="P571" s="10">
        <v>115</v>
      </c>
      <c r="Q571" s="10">
        <v>79</v>
      </c>
      <c r="R571" s="12">
        <v>21.18253822066679</v>
      </c>
      <c r="S571" s="12">
        <v>14.55148277767545</v>
      </c>
    </row>
    <row r="572" spans="12:19">
      <c r="L572" t="s">
        <v>68</v>
      </c>
      <c r="M572" s="15">
        <v>45502</v>
      </c>
      <c r="N572" t="b">
        <v>0</v>
      </c>
      <c r="O572" s="10">
        <v>4721</v>
      </c>
      <c r="P572" s="10">
        <v>192</v>
      </c>
      <c r="Q572" s="10">
        <v>190</v>
      </c>
      <c r="R572" s="12">
        <v>40.66934971404363</v>
      </c>
      <c r="S572" s="12">
        <v>40.24571065452235</v>
      </c>
    </row>
    <row r="573" spans="12:19">
      <c r="L573" t="s">
        <v>68</v>
      </c>
      <c r="M573" s="15">
        <v>45509</v>
      </c>
      <c r="N573" t="b">
        <v>0</v>
      </c>
      <c r="O573" s="10">
        <v>8009</v>
      </c>
      <c r="P573" s="10">
        <v>136</v>
      </c>
      <c r="Q573" s="10">
        <v>169</v>
      </c>
      <c r="R573" s="12">
        <v>16.98089649144712</v>
      </c>
      <c r="S573" s="12">
        <v>21.10126108128356</v>
      </c>
    </row>
    <row r="574" spans="12:19">
      <c r="L574" t="s">
        <v>68</v>
      </c>
      <c r="M574" s="15">
        <v>45516</v>
      </c>
      <c r="N574" t="b">
        <v>0</v>
      </c>
      <c r="O574" s="10">
        <v>8212</v>
      </c>
      <c r="P574" s="10">
        <v>212</v>
      </c>
      <c r="Q574" s="10">
        <v>278</v>
      </c>
      <c r="R574" s="12">
        <v>25.81587920116902</v>
      </c>
      <c r="S574" s="12">
        <v>33.85289819775937</v>
      </c>
    </row>
    <row r="575" spans="12:19">
      <c r="L575" t="s">
        <v>68</v>
      </c>
      <c r="M575" s="15">
        <v>45523</v>
      </c>
      <c r="N575" t="b">
        <v>0</v>
      </c>
      <c r="O575" s="10">
        <v>7883</v>
      </c>
      <c r="P575" s="10">
        <v>66</v>
      </c>
      <c r="Q575" s="10">
        <v>72</v>
      </c>
      <c r="R575" s="12">
        <v>8.372447037929723</v>
      </c>
      <c r="S575" s="12">
        <v>9.133578586832424</v>
      </c>
    </row>
    <row r="576" spans="12:19">
      <c r="L576" t="s">
        <v>68</v>
      </c>
      <c r="M576" s="15">
        <v>45530</v>
      </c>
      <c r="N576" t="b">
        <v>0</v>
      </c>
      <c r="O576" s="10">
        <v>8104</v>
      </c>
      <c r="P576" s="10">
        <v>232</v>
      </c>
      <c r="Q576" s="10">
        <v>304</v>
      </c>
      <c r="R576" s="12">
        <v>28.62783810463968</v>
      </c>
      <c r="S576" s="12">
        <v>37.51233958538993</v>
      </c>
    </row>
    <row r="577" spans="12:19">
      <c r="L577" t="s">
        <v>68</v>
      </c>
      <c r="M577" s="15">
        <v>45537</v>
      </c>
      <c r="N577" t="b">
        <v>0</v>
      </c>
      <c r="O577" s="10">
        <v>7706</v>
      </c>
      <c r="P577" s="10">
        <v>57</v>
      </c>
      <c r="Q577" s="10">
        <v>121</v>
      </c>
      <c r="R577" s="12">
        <v>7.396833636127693</v>
      </c>
      <c r="S577" s="12">
        <v>15.70205035037633</v>
      </c>
    </row>
    <row r="578" spans="12:19">
      <c r="L578" t="s">
        <v>68</v>
      </c>
      <c r="M578" s="15">
        <v>45544</v>
      </c>
      <c r="N578" t="b">
        <v>0</v>
      </c>
      <c r="O578" s="10">
        <v>7979</v>
      </c>
      <c r="P578" s="10">
        <v>112</v>
      </c>
      <c r="Q578" s="10">
        <v>198</v>
      </c>
      <c r="R578" s="12">
        <v>14.03684672264695</v>
      </c>
      <c r="S578" s="12">
        <v>24.81513974182228</v>
      </c>
    </row>
    <row r="579" spans="12:19">
      <c r="L579" t="s">
        <v>68</v>
      </c>
      <c r="M579" s="15">
        <v>45551</v>
      </c>
      <c r="N579" t="b">
        <v>0</v>
      </c>
      <c r="O579" s="10">
        <v>7994</v>
      </c>
      <c r="P579" s="10">
        <v>93</v>
      </c>
      <c r="Q579" s="10">
        <v>136</v>
      </c>
      <c r="R579" s="12">
        <v>11.63372529397048</v>
      </c>
      <c r="S579" s="12">
        <v>17.01275956967726</v>
      </c>
    </row>
    <row r="580" spans="12:19">
      <c r="L580" t="s">
        <v>68</v>
      </c>
      <c r="M580" s="15">
        <v>45558</v>
      </c>
      <c r="N580" t="b">
        <v>0</v>
      </c>
      <c r="O580" s="10">
        <v>7705</v>
      </c>
      <c r="P580" s="10">
        <v>124</v>
      </c>
      <c r="Q580" s="10">
        <v>147</v>
      </c>
      <c r="R580" s="12">
        <v>16.09344581440623</v>
      </c>
      <c r="S580" s="12">
        <v>19.07852044127191</v>
      </c>
    </row>
    <row r="581" spans="12:19">
      <c r="L581" t="s">
        <v>68</v>
      </c>
      <c r="M581" s="15">
        <v>45565</v>
      </c>
      <c r="N581" t="b">
        <v>0</v>
      </c>
      <c r="O581" s="10">
        <v>7690</v>
      </c>
      <c r="P581" s="10">
        <v>856</v>
      </c>
      <c r="Q581" s="10">
        <v>1578</v>
      </c>
      <c r="R581" s="12">
        <v>111.3133940182055</v>
      </c>
      <c r="S581" s="12">
        <v>205.2015604681404</v>
      </c>
    </row>
    <row r="582" spans="12:19">
      <c r="L582" t="s">
        <v>68</v>
      </c>
      <c r="M582" s="15">
        <v>45572</v>
      </c>
      <c r="N582" t="b">
        <v>0</v>
      </c>
      <c r="O582" s="10">
        <v>7119</v>
      </c>
      <c r="P582" s="10">
        <v>55</v>
      </c>
      <c r="Q582" s="10">
        <v>36</v>
      </c>
      <c r="R582" s="12">
        <v>7.725804185981177</v>
      </c>
      <c r="S582" s="12">
        <v>5.056890012642225</v>
      </c>
    </row>
    <row r="583" spans="12:19">
      <c r="L583" t="s">
        <v>68</v>
      </c>
      <c r="M583" s="15">
        <v>45579</v>
      </c>
      <c r="N583" t="b">
        <v>0</v>
      </c>
      <c r="O583" s="10">
        <v>7067</v>
      </c>
      <c r="P583" s="10">
        <v>58</v>
      </c>
      <c r="Q583" s="10">
        <v>118</v>
      </c>
      <c r="R583" s="12">
        <v>8.207160039620772</v>
      </c>
      <c r="S583" s="12">
        <v>16.69732559784916</v>
      </c>
    </row>
    <row r="584" spans="12:19">
      <c r="L584" t="s">
        <v>68</v>
      </c>
      <c r="M584" s="15">
        <v>45586</v>
      </c>
      <c r="N584" t="b">
        <v>0</v>
      </c>
      <c r="O584" s="10">
        <v>7566</v>
      </c>
      <c r="P584" s="10">
        <v>115</v>
      </c>
      <c r="Q584" s="10">
        <v>102</v>
      </c>
      <c r="R584" s="12">
        <v>15.19957705524716</v>
      </c>
      <c r="S584" s="12">
        <v>13.48136399682791</v>
      </c>
    </row>
    <row r="585" spans="12:19">
      <c r="L585" t="s">
        <v>68</v>
      </c>
      <c r="M585" s="15">
        <v>45593</v>
      </c>
      <c r="N585" t="b">
        <v>0</v>
      </c>
      <c r="O585" s="10">
        <v>7054</v>
      </c>
      <c r="P585" s="10">
        <v>1516</v>
      </c>
      <c r="Q585" s="10">
        <v>786</v>
      </c>
      <c r="R585" s="12">
        <v>214.913524241565</v>
      </c>
      <c r="S585" s="12">
        <v>111.4261411964843</v>
      </c>
    </row>
    <row r="586" spans="12:19">
      <c r="L586" t="s">
        <v>68</v>
      </c>
      <c r="M586" s="15">
        <v>45600</v>
      </c>
      <c r="N586" t="b">
        <v>1</v>
      </c>
      <c r="O586" s="10">
        <v>6770</v>
      </c>
      <c r="P586" s="10">
        <v>31</v>
      </c>
      <c r="Q586" s="10">
        <v>34</v>
      </c>
      <c r="R586" s="12">
        <v>4.579025110782865</v>
      </c>
      <c r="S586" s="12">
        <v>5.022156573116692</v>
      </c>
    </row>
    <row r="587" spans="12:19">
      <c r="L587" t="s">
        <v>68</v>
      </c>
      <c r="M587" s="15">
        <v>45607</v>
      </c>
      <c r="N587" t="b">
        <v>1</v>
      </c>
      <c r="O587" s="10">
        <v>6748</v>
      </c>
      <c r="P587" s="10">
        <v>16</v>
      </c>
      <c r="Q587" s="10">
        <v>41</v>
      </c>
      <c r="R587" s="12">
        <v>2.371072910491998</v>
      </c>
      <c r="S587" s="12">
        <v>6.075874333135744</v>
      </c>
    </row>
    <row r="588" spans="12:19">
      <c r="L588" t="s">
        <v>68</v>
      </c>
      <c r="M588" s="15">
        <v>45614</v>
      </c>
      <c r="N588" t="b">
        <v>1</v>
      </c>
      <c r="O588" s="10">
        <v>6707</v>
      </c>
      <c r="P588" s="10">
        <v>20</v>
      </c>
      <c r="Q588" s="10">
        <v>37</v>
      </c>
      <c r="R588" s="12">
        <v>2.981959147159684</v>
      </c>
      <c r="S588" s="12">
        <v>5.516624422245415</v>
      </c>
    </row>
    <row r="589" spans="12:19">
      <c r="L589" t="s">
        <v>68</v>
      </c>
      <c r="M589" s="15">
        <v>45621</v>
      </c>
      <c r="N589" t="b">
        <v>1</v>
      </c>
      <c r="O589" s="10">
        <v>6667</v>
      </c>
      <c r="P589" s="10">
        <v>20</v>
      </c>
      <c r="Q589" s="10">
        <v>29</v>
      </c>
      <c r="R589" s="12">
        <v>2.999850007499625</v>
      </c>
      <c r="S589" s="12">
        <v>4.349782510874456</v>
      </c>
    </row>
    <row r="590" spans="12:19">
      <c r="L590" t="s">
        <v>68</v>
      </c>
      <c r="M590" s="15">
        <v>45628</v>
      </c>
      <c r="N590" t="b">
        <v>1</v>
      </c>
      <c r="O590" s="10">
        <v>6666</v>
      </c>
      <c r="P590" s="10">
        <v>28</v>
      </c>
      <c r="Q590" s="10">
        <v>32</v>
      </c>
      <c r="R590" s="12">
        <v>4.2004200420042</v>
      </c>
      <c r="S590" s="12">
        <v>4.8004800480048</v>
      </c>
    </row>
    <row r="591" spans="12:19">
      <c r="L591" t="s">
        <v>68</v>
      </c>
      <c r="M591" s="15">
        <v>45635</v>
      </c>
      <c r="N591" t="b">
        <v>1</v>
      </c>
      <c r="O591" s="10">
        <v>6580</v>
      </c>
      <c r="P591" s="10">
        <v>25</v>
      </c>
      <c r="Q591" s="10">
        <v>40</v>
      </c>
      <c r="R591" s="12">
        <v>3.799392097264437</v>
      </c>
      <c r="S591" s="12">
        <v>6.079027355623101</v>
      </c>
    </row>
    <row r="592" spans="12:19">
      <c r="L592" t="s">
        <v>68</v>
      </c>
      <c r="M592" s="15">
        <v>45642</v>
      </c>
      <c r="N592" t="b">
        <v>1</v>
      </c>
      <c r="O592" s="10">
        <v>6588</v>
      </c>
      <c r="P592" s="10">
        <v>25</v>
      </c>
      <c r="Q592" s="10">
        <v>29</v>
      </c>
      <c r="R592" s="12">
        <v>3.794778384942319</v>
      </c>
      <c r="S592" s="12">
        <v>4.40194292653309</v>
      </c>
    </row>
    <row r="593" spans="12:19">
      <c r="L593" t="s">
        <v>68</v>
      </c>
      <c r="M593" s="15">
        <v>45649</v>
      </c>
      <c r="N593" t="b">
        <v>1</v>
      </c>
      <c r="O593" s="10">
        <v>6583</v>
      </c>
      <c r="P593" s="10">
        <v>17</v>
      </c>
      <c r="Q593" s="10">
        <v>54</v>
      </c>
      <c r="R593" s="12">
        <v>2.582409235910679</v>
      </c>
      <c r="S593" s="12">
        <v>8.202946984657451</v>
      </c>
    </row>
    <row r="594" spans="12:19">
      <c r="L594" t="s">
        <v>68</v>
      </c>
      <c r="M594" s="15">
        <v>45656</v>
      </c>
      <c r="N594" t="b">
        <v>1</v>
      </c>
      <c r="O594" s="10">
        <v>6678</v>
      </c>
      <c r="P594" s="10">
        <v>25</v>
      </c>
      <c r="Q594" s="10">
        <v>39</v>
      </c>
      <c r="R594" s="12">
        <v>3.743635819107517</v>
      </c>
      <c r="S594" s="12">
        <v>5.840071877807727</v>
      </c>
    </row>
    <row r="595" spans="12:19">
      <c r="L595" t="s">
        <v>68</v>
      </c>
      <c r="M595" s="15">
        <v>45663</v>
      </c>
      <c r="N595" t="b">
        <v>1</v>
      </c>
      <c r="O595" s="10">
        <v>6761</v>
      </c>
      <c r="P595" s="10">
        <v>447</v>
      </c>
      <c r="Q595" s="10">
        <v>79</v>
      </c>
      <c r="R595" s="12">
        <v>66.11448010649312</v>
      </c>
      <c r="S595" s="12">
        <v>11.68466203224375</v>
      </c>
    </row>
    <row r="596" spans="12:19">
      <c r="L596" t="s">
        <v>68</v>
      </c>
      <c r="M596" s="15">
        <v>45670</v>
      </c>
      <c r="N596" t="b">
        <v>1</v>
      </c>
      <c r="O596" s="10">
        <v>6797</v>
      </c>
      <c r="P596" s="10">
        <v>125</v>
      </c>
      <c r="Q596" s="10">
        <v>3128</v>
      </c>
      <c r="R596" s="12">
        <v>18.39046638222745</v>
      </c>
      <c r="S596" s="12">
        <v>460.2030307488598</v>
      </c>
    </row>
    <row r="597" spans="12:19">
      <c r="L597" t="s">
        <v>68</v>
      </c>
      <c r="M597" s="15">
        <v>45677</v>
      </c>
      <c r="N597" t="b">
        <v>1</v>
      </c>
      <c r="O597" s="10">
        <v>6774</v>
      </c>
      <c r="P597" s="10">
        <v>40</v>
      </c>
      <c r="Q597" s="10">
        <v>53</v>
      </c>
      <c r="R597" s="12">
        <v>5.90493061706525</v>
      </c>
      <c r="S597" s="12">
        <v>7.824033067611456</v>
      </c>
    </row>
    <row r="598" spans="12:19">
      <c r="L598" t="s">
        <v>68</v>
      </c>
      <c r="M598" s="15">
        <v>45684</v>
      </c>
      <c r="N598" t="b">
        <v>1</v>
      </c>
      <c r="O598" s="10">
        <v>6779</v>
      </c>
      <c r="P598" s="10">
        <v>45</v>
      </c>
      <c r="Q598" s="10">
        <v>121</v>
      </c>
      <c r="R598" s="12">
        <v>6.638147219353887</v>
      </c>
      <c r="S598" s="12">
        <v>17.84924030092934</v>
      </c>
    </row>
    <row r="599" spans="12:19">
      <c r="L599" t="s">
        <v>68</v>
      </c>
      <c r="M599" s="15">
        <v>45691</v>
      </c>
      <c r="N599" t="b">
        <v>0</v>
      </c>
      <c r="O599" s="10">
        <v>6630</v>
      </c>
      <c r="P599" s="10">
        <v>109</v>
      </c>
      <c r="Q599" s="10">
        <v>71</v>
      </c>
      <c r="R599" s="12">
        <v>16.44042232277526</v>
      </c>
      <c r="S599" s="12">
        <v>10.70889894419306</v>
      </c>
    </row>
    <row r="600" spans="12:19">
      <c r="L600" t="s">
        <v>68</v>
      </c>
      <c r="M600" s="15">
        <v>45698</v>
      </c>
      <c r="N600" t="b">
        <v>0</v>
      </c>
      <c r="O600" s="10">
        <v>6573</v>
      </c>
      <c r="P600" s="10">
        <v>133</v>
      </c>
      <c r="Q600" s="10">
        <v>171</v>
      </c>
      <c r="R600" s="12">
        <v>20.23429179978701</v>
      </c>
      <c r="S600" s="12">
        <v>26.01551802829758</v>
      </c>
    </row>
    <row r="601" spans="12:19">
      <c r="L601" t="s">
        <v>68</v>
      </c>
      <c r="M601" s="15">
        <v>45705</v>
      </c>
      <c r="N601" t="b">
        <v>0</v>
      </c>
      <c r="O601" s="10">
        <v>6529</v>
      </c>
      <c r="P601" s="10">
        <v>91</v>
      </c>
      <c r="Q601" s="10">
        <v>89</v>
      </c>
      <c r="R601" s="12">
        <v>13.93781589829989</v>
      </c>
      <c r="S601" s="12">
        <v>13.63149027416143</v>
      </c>
    </row>
    <row r="602" spans="12:19">
      <c r="L602" t="s">
        <v>68</v>
      </c>
      <c r="M602" s="15">
        <v>45712</v>
      </c>
      <c r="N602" t="b">
        <v>0</v>
      </c>
      <c r="O602" s="10">
        <v>6562</v>
      </c>
      <c r="P602" s="10">
        <v>65</v>
      </c>
      <c r="Q602" s="10">
        <v>393</v>
      </c>
      <c r="R602" s="12">
        <v>9.905516610789393</v>
      </c>
      <c r="S602" s="12">
        <v>59.89027735446511</v>
      </c>
    </row>
    <row r="603" spans="12:19">
      <c r="L603" t="s">
        <v>68</v>
      </c>
      <c r="M603" s="15">
        <v>45719</v>
      </c>
      <c r="N603" t="b">
        <v>0</v>
      </c>
      <c r="O603" s="10">
        <v>6582</v>
      </c>
      <c r="P603" s="10">
        <v>12</v>
      </c>
      <c r="Q603" s="10">
        <v>16</v>
      </c>
      <c r="R603" s="12">
        <v>1.823154056517776</v>
      </c>
      <c r="S603" s="12">
        <v>2.430872075357034</v>
      </c>
    </row>
    <row r="604" spans="12:19">
      <c r="L604" t="s">
        <v>68</v>
      </c>
      <c r="M604" s="15">
        <v>45726</v>
      </c>
      <c r="N604" t="b">
        <v>0</v>
      </c>
      <c r="O604" s="10">
        <v>6590</v>
      </c>
      <c r="P604" s="10">
        <v>19</v>
      </c>
      <c r="Q604" s="10">
        <v>33</v>
      </c>
      <c r="R604" s="12">
        <v>2.883156297420334</v>
      </c>
      <c r="S604" s="12">
        <v>5.007587253414264</v>
      </c>
    </row>
    <row r="605" spans="12:19">
      <c r="L605" t="s">
        <v>68</v>
      </c>
      <c r="M605" s="15">
        <v>45733</v>
      </c>
      <c r="N605" t="b">
        <v>0</v>
      </c>
      <c r="O605" s="10">
        <v>6556</v>
      </c>
      <c r="P605" s="10">
        <v>30</v>
      </c>
      <c r="Q605" s="10">
        <v>7</v>
      </c>
      <c r="R605" s="12">
        <v>4.575960951799878</v>
      </c>
      <c r="S605" s="12">
        <v>1.067724222086638</v>
      </c>
    </row>
    <row r="606" spans="12:19">
      <c r="L606" t="s">
        <v>68</v>
      </c>
      <c r="M606" s="15">
        <v>45740</v>
      </c>
      <c r="N606" t="b">
        <v>0</v>
      </c>
      <c r="O606" s="10">
        <v>6512</v>
      </c>
      <c r="P606" s="10">
        <v>43</v>
      </c>
      <c r="Q606" s="10">
        <v>22</v>
      </c>
      <c r="R606" s="12">
        <v>6.603194103194103</v>
      </c>
      <c r="S606" s="12">
        <v>3.378378378378379</v>
      </c>
    </row>
    <row r="607" spans="12:19">
      <c r="L607" t="s">
        <v>68</v>
      </c>
      <c r="M607" s="15">
        <v>45747</v>
      </c>
      <c r="N607" t="b">
        <v>0</v>
      </c>
      <c r="O607" s="10">
        <v>6568</v>
      </c>
      <c r="P607" s="10">
        <v>19</v>
      </c>
      <c r="Q607" s="10">
        <v>29</v>
      </c>
      <c r="R607" s="12">
        <v>2.892813641900122</v>
      </c>
      <c r="S607" s="12">
        <v>4.415347137637028</v>
      </c>
    </row>
    <row r="608" spans="12:19">
      <c r="L608" t="s">
        <v>68</v>
      </c>
      <c r="M608" s="15">
        <v>45754</v>
      </c>
      <c r="N608" t="b">
        <v>0</v>
      </c>
      <c r="O608" s="10">
        <v>6740</v>
      </c>
      <c r="P608" s="10">
        <v>14</v>
      </c>
      <c r="Q608" s="10">
        <v>13</v>
      </c>
      <c r="R608" s="12">
        <v>2.077151335311573</v>
      </c>
      <c r="S608" s="12">
        <v>1.928783382789317</v>
      </c>
    </row>
    <row r="609" spans="12:19">
      <c r="L609" t="s">
        <v>68</v>
      </c>
      <c r="M609" s="15">
        <v>45761</v>
      </c>
      <c r="N609" t="b">
        <v>0</v>
      </c>
      <c r="O609" s="10">
        <v>6772</v>
      </c>
      <c r="P609" s="10">
        <v>32</v>
      </c>
      <c r="Q609" s="10">
        <v>52</v>
      </c>
      <c r="R609" s="12">
        <v>4.725339633786178</v>
      </c>
      <c r="S609" s="12">
        <v>7.67867690490254</v>
      </c>
    </row>
    <row r="610" spans="12:19">
      <c r="L610" t="s">
        <v>68</v>
      </c>
      <c r="M610" s="15">
        <v>45768</v>
      </c>
      <c r="N610" t="b">
        <v>0</v>
      </c>
      <c r="O610" s="10">
        <v>6746</v>
      </c>
      <c r="P610" s="10">
        <v>26</v>
      </c>
      <c r="Q610" s="10">
        <v>6</v>
      </c>
      <c r="R610" s="12">
        <v>3.854135784168396</v>
      </c>
      <c r="S610" s="12">
        <v>0.8894159501927068</v>
      </c>
    </row>
    <row r="611" spans="12:19">
      <c r="L611" t="s">
        <v>68</v>
      </c>
      <c r="M611" s="15">
        <v>45775</v>
      </c>
      <c r="N611" t="b">
        <v>0</v>
      </c>
      <c r="O611" s="10">
        <v>6741</v>
      </c>
      <c r="P611" s="10">
        <v>14</v>
      </c>
      <c r="Q611" s="10">
        <v>14</v>
      </c>
      <c r="R611" s="12">
        <v>2.076843198338525</v>
      </c>
      <c r="S611" s="12">
        <v>2.076843198338525</v>
      </c>
    </row>
    <row r="612" spans="12:19">
      <c r="L612" t="s">
        <v>68</v>
      </c>
      <c r="M612" s="15">
        <v>45782</v>
      </c>
      <c r="N612" t="b">
        <v>0</v>
      </c>
      <c r="O612" s="10">
        <v>6857</v>
      </c>
      <c r="P612" s="10">
        <v>10</v>
      </c>
      <c r="Q612" s="10">
        <v>17</v>
      </c>
      <c r="R612" s="12">
        <v>1.458363715910748</v>
      </c>
      <c r="S612" s="12">
        <v>2.479218317048272</v>
      </c>
    </row>
    <row r="613" spans="12:19">
      <c r="L613" t="s">
        <v>68</v>
      </c>
      <c r="M613" s="15">
        <v>45789</v>
      </c>
      <c r="N613" t="b">
        <v>0</v>
      </c>
      <c r="O613" s="10">
        <v>6820</v>
      </c>
      <c r="P613" s="10">
        <v>36</v>
      </c>
      <c r="Q613" s="10">
        <v>20</v>
      </c>
      <c r="R613" s="12">
        <v>5.278592375366569</v>
      </c>
      <c r="S613" s="12">
        <v>2.932551319648094</v>
      </c>
    </row>
    <row r="614" spans="12:19">
      <c r="L614" t="s">
        <v>68</v>
      </c>
      <c r="M614" s="15">
        <v>45796</v>
      </c>
      <c r="N614" t="b">
        <v>0</v>
      </c>
      <c r="O614" s="10">
        <v>6801</v>
      </c>
      <c r="P614" s="10">
        <v>19</v>
      </c>
      <c r="Q614" s="10">
        <v>23</v>
      </c>
      <c r="R614" s="12">
        <v>2.793706807822379</v>
      </c>
      <c r="S614" s="12">
        <v>3.381855609469196</v>
      </c>
    </row>
    <row r="615" spans="12:19">
      <c r="L615" t="s">
        <v>68</v>
      </c>
      <c r="M615" s="15">
        <v>45803</v>
      </c>
      <c r="N615" t="b">
        <v>0</v>
      </c>
      <c r="O615" s="10">
        <v>6849</v>
      </c>
      <c r="P615" s="10">
        <v>20</v>
      </c>
      <c r="Q615" s="10">
        <v>5</v>
      </c>
      <c r="R615" s="12">
        <v>2.920134326179004</v>
      </c>
      <c r="S615" s="12">
        <v>0.7300335815447511</v>
      </c>
    </row>
    <row r="616" spans="12:19">
      <c r="L616" t="s">
        <v>68</v>
      </c>
      <c r="M616" s="15">
        <v>45810</v>
      </c>
      <c r="N616" t="b">
        <v>0</v>
      </c>
      <c r="O616" s="10">
        <v>6838</v>
      </c>
      <c r="P616" s="10">
        <v>27</v>
      </c>
      <c r="Q616" s="10">
        <v>16</v>
      </c>
      <c r="R616" s="12">
        <v>3.948522959929804</v>
      </c>
      <c r="S616" s="12">
        <v>2.33986545773618</v>
      </c>
    </row>
    <row r="617" spans="12:19">
      <c r="L617" t="s">
        <v>68</v>
      </c>
      <c r="M617" s="15">
        <v>45817</v>
      </c>
      <c r="N617" t="b">
        <v>0</v>
      </c>
      <c r="O617" s="10">
        <v>6830</v>
      </c>
      <c r="P617" s="10">
        <v>5</v>
      </c>
      <c r="Q617" s="10">
        <v>7</v>
      </c>
      <c r="R617" s="12">
        <v>0.7320644216691069</v>
      </c>
      <c r="S617" s="12">
        <v>1.02489019033675</v>
      </c>
    </row>
    <row r="618" spans="12:19">
      <c r="L618" t="s">
        <v>68</v>
      </c>
      <c r="M618" s="15">
        <v>45824</v>
      </c>
      <c r="N618" t="b">
        <v>0</v>
      </c>
      <c r="O618" s="10">
        <v>6816</v>
      </c>
      <c r="P618" s="10">
        <v>24</v>
      </c>
      <c r="Q618" s="10">
        <v>21</v>
      </c>
      <c r="R618" s="12">
        <v>3.52112676056338</v>
      </c>
      <c r="S618" s="12">
        <v>3.080985915492957</v>
      </c>
    </row>
    <row r="619" spans="12:19">
      <c r="L619" t="s">
        <v>68</v>
      </c>
      <c r="M619" s="15">
        <v>45831</v>
      </c>
      <c r="N619" t="b">
        <v>0</v>
      </c>
      <c r="O619" s="10">
        <v>6709</v>
      </c>
      <c r="P619" s="10">
        <v>25</v>
      </c>
      <c r="Q619" s="10">
        <v>29</v>
      </c>
      <c r="R619" s="12">
        <v>3.726337755254136</v>
      </c>
      <c r="S619" s="12">
        <v>4.322551796094798</v>
      </c>
    </row>
    <row r="620" spans="12:19">
      <c r="L620" t="s">
        <v>68</v>
      </c>
      <c r="M620" s="15">
        <v>45838</v>
      </c>
      <c r="N620" t="b">
        <v>0</v>
      </c>
      <c r="O620" s="10">
        <v>6742</v>
      </c>
      <c r="P620" s="10">
        <v>6</v>
      </c>
      <c r="Q620" s="10">
        <v>3</v>
      </c>
      <c r="R620" s="12">
        <v>0.8899436369029962</v>
      </c>
      <c r="S620" s="12">
        <v>0.4449718184514981</v>
      </c>
    </row>
    <row r="621" spans="12:19">
      <c r="L621" t="s">
        <v>68</v>
      </c>
      <c r="M621" s="15">
        <v>45845</v>
      </c>
      <c r="N621" t="b">
        <v>0</v>
      </c>
      <c r="O621" s="10">
        <v>7502</v>
      </c>
      <c r="P621" s="10">
        <v>217</v>
      </c>
      <c r="Q621" s="10">
        <v>142</v>
      </c>
      <c r="R621" s="12">
        <v>28.92561983471074</v>
      </c>
      <c r="S621" s="12">
        <v>18.92828579045588</v>
      </c>
    </row>
    <row r="622" spans="12:19">
      <c r="L622" t="s">
        <v>68</v>
      </c>
      <c r="M622" s="15">
        <v>45852</v>
      </c>
      <c r="N622" t="b">
        <v>0</v>
      </c>
      <c r="O622" s="10">
        <v>7148</v>
      </c>
      <c r="P622" s="10">
        <v>32</v>
      </c>
      <c r="Q622" s="10">
        <v>61</v>
      </c>
      <c r="R622" s="12">
        <v>4.476776720761052</v>
      </c>
      <c r="S622" s="12">
        <v>8.533855623950755</v>
      </c>
    </row>
    <row r="623" spans="12:19">
      <c r="L623" t="s">
        <v>68</v>
      </c>
      <c r="M623" s="15">
        <v>45859</v>
      </c>
      <c r="N623" t="b">
        <v>0</v>
      </c>
      <c r="O623" s="10">
        <v>7236</v>
      </c>
      <c r="P623" s="10">
        <v>78</v>
      </c>
      <c r="Q623" s="10">
        <v>27</v>
      </c>
      <c r="R623" s="12">
        <v>10.77943615257048</v>
      </c>
      <c r="S623" s="12">
        <v>3.73134328358209</v>
      </c>
    </row>
    <row r="624" spans="12:19">
      <c r="L624" t="s">
        <v>68</v>
      </c>
      <c r="M624" s="15">
        <v>45866</v>
      </c>
      <c r="N624" t="b">
        <v>0</v>
      </c>
      <c r="O624" s="10">
        <v>7273</v>
      </c>
      <c r="P624" s="10">
        <v>69</v>
      </c>
      <c r="Q624" s="10">
        <v>20</v>
      </c>
      <c r="R624" s="12">
        <v>9.487144232091296</v>
      </c>
      <c r="S624" s="12">
        <v>2.749896878867042</v>
      </c>
    </row>
    <row r="625" spans="12:19">
      <c r="L625" t="s">
        <v>68</v>
      </c>
      <c r="M625" s="15">
        <v>45873</v>
      </c>
      <c r="N625" t="b">
        <v>0</v>
      </c>
      <c r="O625" s="10">
        <v>7244</v>
      </c>
      <c r="P625" s="10">
        <v>103</v>
      </c>
      <c r="Q625" s="10">
        <v>63</v>
      </c>
      <c r="R625" s="12">
        <v>14.21866372170072</v>
      </c>
      <c r="S625" s="12">
        <v>8.696852567642187</v>
      </c>
    </row>
    <row r="626" spans="12:19">
      <c r="L626" t="s">
        <v>68</v>
      </c>
      <c r="M626" s="15">
        <v>45894</v>
      </c>
      <c r="N626" t="b">
        <v>0</v>
      </c>
      <c r="O626" s="10">
        <v>7308</v>
      </c>
      <c r="P626" s="10">
        <v>3</v>
      </c>
      <c r="Q626" s="10">
        <v>2</v>
      </c>
      <c r="R626" s="12">
        <v>0.4105090311986863</v>
      </c>
      <c r="S626" s="12">
        <v>0.2736726874657909</v>
      </c>
    </row>
    <row r="627" spans="12:19">
      <c r="L627" t="s">
        <v>68</v>
      </c>
      <c r="M627" s="15">
        <v>45901</v>
      </c>
      <c r="N627" t="b">
        <v>0</v>
      </c>
      <c r="O627" s="10">
        <v>7381</v>
      </c>
      <c r="P627" s="10">
        <v>100</v>
      </c>
      <c r="Q627" s="10">
        <v>39</v>
      </c>
      <c r="R627" s="12">
        <v>13.54829968838911</v>
      </c>
      <c r="S627" s="12">
        <v>5.283836878471752</v>
      </c>
    </row>
    <row r="628" spans="12:19">
      <c r="L628" t="s">
        <v>68</v>
      </c>
      <c r="M628" s="15">
        <v>45908</v>
      </c>
      <c r="N628" t="b">
        <v>0</v>
      </c>
      <c r="O628" s="10">
        <v>7441</v>
      </c>
      <c r="P628" s="10">
        <v>77</v>
      </c>
      <c r="Q628" s="10">
        <v>53</v>
      </c>
      <c r="R628" s="12">
        <v>10.3480714957667</v>
      </c>
      <c r="S628" s="12">
        <v>7.122698562021234</v>
      </c>
    </row>
    <row r="629" spans="12:19">
      <c r="L629" t="s">
        <v>68</v>
      </c>
      <c r="M629" s="15">
        <v>45915</v>
      </c>
      <c r="N629" t="b">
        <v>0</v>
      </c>
      <c r="O629" s="10">
        <v>7496</v>
      </c>
      <c r="P629" s="10">
        <v>20</v>
      </c>
      <c r="Q629" s="10">
        <v>31</v>
      </c>
      <c r="R629" s="12">
        <v>2.668089647812166</v>
      </c>
      <c r="S629" s="12">
        <v>4.135538954108858</v>
      </c>
    </row>
    <row r="630" spans="12:19">
      <c r="L630" t="s">
        <v>68</v>
      </c>
      <c r="M630" s="15">
        <v>45922</v>
      </c>
      <c r="N630" t="b">
        <v>0</v>
      </c>
      <c r="O630" s="10">
        <v>7498</v>
      </c>
      <c r="P630" s="10">
        <v>532</v>
      </c>
      <c r="Q630" s="10">
        <v>71</v>
      </c>
      <c r="R630" s="12">
        <v>70.9522539343825</v>
      </c>
      <c r="S630" s="12">
        <v>9.469191784475861</v>
      </c>
    </row>
    <row r="631" spans="12:19">
      <c r="L631" t="s">
        <v>68</v>
      </c>
      <c r="M631" s="15">
        <v>45929</v>
      </c>
      <c r="N631" t="b">
        <v>0</v>
      </c>
      <c r="O631" s="10">
        <v>7497</v>
      </c>
      <c r="P631" s="10">
        <v>54</v>
      </c>
      <c r="Q631" s="10">
        <v>38</v>
      </c>
      <c r="R631" s="12">
        <v>7.202881152460985</v>
      </c>
      <c r="S631" s="12">
        <v>5.068694144324397</v>
      </c>
    </row>
    <row r="632" spans="12:19">
      <c r="L632" t="s">
        <v>68</v>
      </c>
      <c r="M632" s="15">
        <v>45936</v>
      </c>
      <c r="N632" t="b">
        <v>0</v>
      </c>
      <c r="O632" s="10">
        <v>7444</v>
      </c>
      <c r="P632" s="10">
        <v>93</v>
      </c>
      <c r="Q632" s="10">
        <v>62</v>
      </c>
      <c r="R632" s="12">
        <v>12.49328318108544</v>
      </c>
      <c r="S632" s="12">
        <v>8.328855454056958</v>
      </c>
    </row>
    <row r="633" spans="12:19">
      <c r="L633" t="s">
        <v>68</v>
      </c>
      <c r="M633" s="15">
        <v>45943</v>
      </c>
      <c r="N633" t="b">
        <v>0</v>
      </c>
      <c r="O633" s="10">
        <v>7264</v>
      </c>
      <c r="P633" s="10">
        <v>48</v>
      </c>
      <c r="Q633" s="10">
        <v>37</v>
      </c>
      <c r="R633" s="12">
        <v>6.607929515418502</v>
      </c>
      <c r="S633" s="12">
        <v>5.093612334801762</v>
      </c>
    </row>
    <row r="634" spans="12:19">
      <c r="L634" t="s">
        <v>68</v>
      </c>
      <c r="M634" s="15">
        <v>45950</v>
      </c>
      <c r="N634" t="b">
        <v>0</v>
      </c>
      <c r="O634" s="10">
        <v>7262</v>
      </c>
      <c r="P634" s="10">
        <v>119</v>
      </c>
      <c r="Q634" s="10">
        <v>50</v>
      </c>
      <c r="R634" s="12">
        <v>16.38667033874966</v>
      </c>
      <c r="S634" s="12">
        <v>6.885155604516662</v>
      </c>
    </row>
    <row r="635" spans="12:19">
      <c r="L635" t="s">
        <v>68</v>
      </c>
      <c r="M635" s="15">
        <v>45957</v>
      </c>
      <c r="N635" t="b">
        <v>0</v>
      </c>
      <c r="O635" s="10">
        <v>7050</v>
      </c>
      <c r="P635" s="10">
        <v>48</v>
      </c>
      <c r="Q635" s="10">
        <v>29</v>
      </c>
      <c r="R635" s="12">
        <v>6.808510638297872</v>
      </c>
      <c r="S635" s="12">
        <v>4.113475177304965</v>
      </c>
    </row>
    <row r="636" spans="12:19">
      <c r="L636" t="s">
        <v>68</v>
      </c>
      <c r="M636" s="15">
        <v>45964</v>
      </c>
      <c r="N636" t="b">
        <v>1</v>
      </c>
      <c r="O636" s="10">
        <v>7449</v>
      </c>
      <c r="P636" s="10">
        <v>219</v>
      </c>
      <c r="Q636" s="10">
        <v>197</v>
      </c>
      <c r="R636" s="12">
        <v>29.39991945227548</v>
      </c>
      <c r="S636" s="12">
        <v>26.44650288629346</v>
      </c>
    </row>
    <row r="637" spans="12:19">
      <c r="L637" t="s">
        <v>68</v>
      </c>
      <c r="M637" s="15">
        <v>45971</v>
      </c>
      <c r="N637" t="b">
        <v>1</v>
      </c>
      <c r="O637" s="10">
        <v>7487</v>
      </c>
      <c r="P637" s="10">
        <v>47</v>
      </c>
      <c r="Q637" s="10">
        <v>38</v>
      </c>
      <c r="R637" s="12">
        <v>6.277547749432349</v>
      </c>
      <c r="S637" s="12">
        <v>5.075464137838921</v>
      </c>
    </row>
    <row r="638" spans="12:19">
      <c r="L638" t="s">
        <v>68</v>
      </c>
      <c r="M638" s="15">
        <v>45978</v>
      </c>
      <c r="N638" t="b">
        <v>1</v>
      </c>
      <c r="O638" s="10">
        <v>7478</v>
      </c>
      <c r="P638" s="10">
        <v>68</v>
      </c>
      <c r="Q638" s="10">
        <v>39</v>
      </c>
      <c r="R638" s="12">
        <v>9.09334046536507</v>
      </c>
      <c r="S638" s="12">
        <v>5.215298208077026</v>
      </c>
    </row>
    <row r="639" spans="12:19">
      <c r="L639" t="s">
        <v>68</v>
      </c>
      <c r="M639" s="15">
        <v>45985</v>
      </c>
      <c r="N639" t="b">
        <v>1</v>
      </c>
      <c r="O639" s="10">
        <v>7491</v>
      </c>
      <c r="P639" s="10">
        <v>33</v>
      </c>
      <c r="Q639" s="10">
        <v>27</v>
      </c>
      <c r="R639" s="12">
        <v>4.405286343612334</v>
      </c>
      <c r="S639" s="12">
        <v>3.604325190228274</v>
      </c>
    </row>
    <row r="640" spans="12:19">
      <c r="L640" t="s">
        <v>68</v>
      </c>
      <c r="M640" s="15">
        <v>45992</v>
      </c>
      <c r="N640" t="b">
        <v>1</v>
      </c>
      <c r="O640" s="10">
        <v>7439</v>
      </c>
      <c r="P640" s="10">
        <v>70</v>
      </c>
      <c r="Q640" s="10">
        <v>45</v>
      </c>
      <c r="R640" s="12">
        <v>9.409866917596451</v>
      </c>
      <c r="S640" s="12">
        <v>6.049200161312005</v>
      </c>
    </row>
    <row r="641" spans="12:19">
      <c r="L641" t="s">
        <v>68</v>
      </c>
      <c r="M641" s="15">
        <v>45999</v>
      </c>
      <c r="N641" t="b">
        <v>1</v>
      </c>
      <c r="O641" s="10">
        <v>7373</v>
      </c>
      <c r="P641" s="10">
        <v>44</v>
      </c>
      <c r="Q641" s="10">
        <v>31</v>
      </c>
      <c r="R641" s="12">
        <v>5.967720059677201</v>
      </c>
      <c r="S641" s="12">
        <v>4.204530042045301</v>
      </c>
    </row>
    <row r="642" spans="12:19">
      <c r="L642" t="s">
        <v>68</v>
      </c>
      <c r="M642" s="15">
        <v>46006</v>
      </c>
      <c r="N642" t="b">
        <v>1</v>
      </c>
      <c r="O642" s="10">
        <v>7373</v>
      </c>
      <c r="P642" s="10">
        <v>78</v>
      </c>
      <c r="Q642" s="10">
        <v>46</v>
      </c>
      <c r="R642" s="12">
        <v>10.5791401057914</v>
      </c>
      <c r="S642" s="12">
        <v>6.238980062389801</v>
      </c>
    </row>
    <row r="643" spans="12:19">
      <c r="L643" t="s">
        <v>68</v>
      </c>
      <c r="M643" s="15">
        <v>46013</v>
      </c>
      <c r="N643" t="b">
        <v>1</v>
      </c>
      <c r="O643" s="10">
        <v>7300</v>
      </c>
      <c r="P643" s="10">
        <v>34</v>
      </c>
      <c r="Q643" s="10">
        <v>23</v>
      </c>
      <c r="R643" s="12">
        <v>4.657534246575342</v>
      </c>
      <c r="S643" s="12">
        <v>3.150684931506849</v>
      </c>
    </row>
    <row r="644" spans="12:19">
      <c r="L644" t="s">
        <v>68</v>
      </c>
      <c r="M644" s="15">
        <v>46020</v>
      </c>
      <c r="N644" t="b">
        <v>1</v>
      </c>
      <c r="O644" s="10">
        <v>7190</v>
      </c>
      <c r="P644" s="10">
        <v>53</v>
      </c>
      <c r="Q644" s="10">
        <v>61</v>
      </c>
      <c r="R644" s="12">
        <v>7.37134909596662</v>
      </c>
      <c r="S644" s="12">
        <v>8.484005563282336</v>
      </c>
    </row>
    <row r="645" spans="12:19">
      <c r="L645" t="s">
        <v>68</v>
      </c>
      <c r="M645" s="15">
        <v>46027</v>
      </c>
      <c r="N645" t="b">
        <v>1</v>
      </c>
      <c r="O645" s="10">
        <v>7274</v>
      </c>
      <c r="P645" s="10">
        <v>90</v>
      </c>
      <c r="Q645" s="10">
        <v>30</v>
      </c>
      <c r="R645" s="12">
        <v>12.37283475391806</v>
      </c>
      <c r="S645" s="12">
        <v>4.124278251306022</v>
      </c>
    </row>
    <row r="646" spans="12:19">
      <c r="L646" t="s">
        <v>68</v>
      </c>
      <c r="M646" s="15">
        <v>46034</v>
      </c>
      <c r="N646" t="b">
        <v>1</v>
      </c>
      <c r="O646" s="10">
        <v>7356</v>
      </c>
      <c r="P646" s="10">
        <v>28</v>
      </c>
      <c r="Q646" s="10">
        <v>6</v>
      </c>
      <c r="R646" s="12">
        <v>3.806416530723219</v>
      </c>
      <c r="S646" s="12">
        <v>0.8156606851549756</v>
      </c>
    </row>
    <row r="647" spans="12:19">
      <c r="L647" t="s">
        <v>68</v>
      </c>
      <c r="M647" s="15">
        <v>46041</v>
      </c>
      <c r="N647" t="b">
        <v>1</v>
      </c>
      <c r="O647" s="10">
        <v>7418</v>
      </c>
      <c r="P647" s="10">
        <v>30</v>
      </c>
      <c r="Q647" s="10">
        <v>31</v>
      </c>
      <c r="R647" s="12">
        <v>4.044216770018873</v>
      </c>
      <c r="S647" s="12">
        <v>4.179023995686169</v>
      </c>
    </row>
    <row r="648" spans="12:19">
      <c r="L648" t="s">
        <v>68</v>
      </c>
      <c r="M648" s="15">
        <v>46048</v>
      </c>
      <c r="N648" t="b">
        <v>1</v>
      </c>
      <c r="O648" s="10">
        <v>7477</v>
      </c>
      <c r="P648" s="10">
        <v>28</v>
      </c>
      <c r="Q648" s="10">
        <v>34</v>
      </c>
      <c r="R648" s="12">
        <v>3.744817440149793</v>
      </c>
      <c r="S648" s="12">
        <v>4.547278320181891</v>
      </c>
    </row>
    <row r="649" spans="12:19">
      <c r="L649" t="s">
        <v>68</v>
      </c>
      <c r="M649" s="15">
        <v>46055</v>
      </c>
      <c r="N649" t="b">
        <v>1</v>
      </c>
      <c r="O649" s="10">
        <v>7490</v>
      </c>
      <c r="P649" s="10">
        <v>100</v>
      </c>
      <c r="Q649" s="10">
        <v>38</v>
      </c>
      <c r="R649" s="12">
        <v>13.35113484646195</v>
      </c>
      <c r="S649" s="12">
        <v>5.073431241655541</v>
      </c>
    </row>
    <row r="650" spans="12:19">
      <c r="L650" t="s">
        <v>68</v>
      </c>
      <c r="M650" s="15">
        <v>46062</v>
      </c>
      <c r="N650" t="b">
        <v>0</v>
      </c>
      <c r="O650" s="10">
        <v>7510</v>
      </c>
      <c r="P650" s="10">
        <v>29</v>
      </c>
      <c r="Q650" s="10">
        <v>28</v>
      </c>
      <c r="R650" s="12">
        <v>3.861517976031958</v>
      </c>
      <c r="S650" s="12">
        <v>3.728362183754993</v>
      </c>
    </row>
    <row r="651" spans="12:19">
      <c r="L651" t="s">
        <v>68</v>
      </c>
      <c r="M651" s="15">
        <v>46069</v>
      </c>
      <c r="N651" t="b">
        <v>0</v>
      </c>
      <c r="O651" s="10">
        <v>7555</v>
      </c>
      <c r="P651" s="10">
        <v>71</v>
      </c>
      <c r="Q651" s="10">
        <v>40</v>
      </c>
      <c r="R651" s="12">
        <v>9.39774983454666</v>
      </c>
      <c r="S651" s="12">
        <v>5.294506949040371</v>
      </c>
    </row>
    <row r="652" spans="12:19">
      <c r="L652" t="s">
        <v>68</v>
      </c>
      <c r="M652" s="15">
        <v>46076</v>
      </c>
      <c r="N652" t="b">
        <v>0</v>
      </c>
      <c r="O652" s="10">
        <v>7303</v>
      </c>
      <c r="P652" s="10">
        <v>24</v>
      </c>
      <c r="Q652" s="10">
        <v>33</v>
      </c>
      <c r="R652" s="12">
        <v>3.286320690127345</v>
      </c>
      <c r="S652" s="12">
        <v>4.5186909489251</v>
      </c>
    </row>
    <row r="653" spans="12:19">
      <c r="L653" t="s">
        <v>68</v>
      </c>
      <c r="M653" s="15">
        <v>46083</v>
      </c>
      <c r="N653" t="b">
        <v>0</v>
      </c>
      <c r="O653" s="10">
        <v>7228</v>
      </c>
      <c r="P653" s="10">
        <v>35</v>
      </c>
      <c r="Q653" s="10">
        <v>31</v>
      </c>
      <c r="R653" s="12">
        <v>4.842280022136137</v>
      </c>
      <c r="S653" s="12">
        <v>4.288876591034865</v>
      </c>
    </row>
    <row r="654" spans="12:19">
      <c r="L654" t="s">
        <v>68</v>
      </c>
      <c r="M654" s="15">
        <v>46090</v>
      </c>
      <c r="N654" t="b">
        <v>0</v>
      </c>
      <c r="O654" s="10">
        <v>7102</v>
      </c>
      <c r="P654" s="10">
        <v>53</v>
      </c>
      <c r="Q654" s="10">
        <v>34</v>
      </c>
      <c r="R654" s="12">
        <v>7.462686567164179</v>
      </c>
      <c r="S654" s="12">
        <v>4.787383835539285</v>
      </c>
    </row>
    <row r="655" spans="12:19">
      <c r="L655" t="s">
        <v>68</v>
      </c>
      <c r="M655" s="15">
        <v>46097</v>
      </c>
      <c r="N655" t="b">
        <v>0</v>
      </c>
      <c r="O655" s="10">
        <v>7085</v>
      </c>
      <c r="P655" s="10">
        <v>32</v>
      </c>
      <c r="Q655" s="10">
        <v>15</v>
      </c>
      <c r="R655" s="12">
        <v>4.516584333098095</v>
      </c>
      <c r="S655" s="12">
        <v>2.117148906139732</v>
      </c>
    </row>
    <row r="656" spans="12:19">
      <c r="L656" t="s">
        <v>68</v>
      </c>
      <c r="M656" s="15">
        <v>46104</v>
      </c>
      <c r="N656" t="b">
        <v>0</v>
      </c>
      <c r="O656" s="10">
        <v>7044</v>
      </c>
      <c r="P656" s="10">
        <v>67</v>
      </c>
      <c r="Q656" s="10">
        <v>16</v>
      </c>
      <c r="R656" s="12">
        <v>9.511641113003977</v>
      </c>
      <c r="S656" s="12">
        <v>2.271436683702442</v>
      </c>
    </row>
    <row r="657" spans="12:19">
      <c r="L657" t="s">
        <v>68</v>
      </c>
      <c r="M657" s="15">
        <v>46111</v>
      </c>
      <c r="N657" t="b">
        <v>0</v>
      </c>
      <c r="O657" s="10">
        <v>7028</v>
      </c>
      <c r="P657" s="10">
        <v>63</v>
      </c>
      <c r="Q657" s="10">
        <v>21</v>
      </c>
      <c r="R657" s="12">
        <v>8.96414342629482</v>
      </c>
      <c r="S657" s="12">
        <v>2.98804780876494</v>
      </c>
    </row>
    <row r="658" spans="12:19">
      <c r="L658" t="s">
        <v>68</v>
      </c>
      <c r="M658" s="15">
        <v>46118</v>
      </c>
      <c r="N658" t="b">
        <v>0</v>
      </c>
      <c r="O658" s="10">
        <v>7122</v>
      </c>
      <c r="P658" s="10">
        <v>49</v>
      </c>
      <c r="Q658" s="10">
        <v>18</v>
      </c>
      <c r="R658" s="12">
        <v>6.880089862398203</v>
      </c>
      <c r="S658" s="12">
        <v>2.527379949452401</v>
      </c>
    </row>
    <row r="659" spans="12:19">
      <c r="L659" t="s">
        <v>68</v>
      </c>
      <c r="M659" s="15">
        <v>46125</v>
      </c>
      <c r="N659" t="b">
        <v>0</v>
      </c>
      <c r="O659" s="10">
        <v>7118</v>
      </c>
      <c r="P659" s="10">
        <v>50</v>
      </c>
      <c r="Q659" s="10">
        <v>34</v>
      </c>
      <c r="R659" s="12">
        <v>7.024445068839562</v>
      </c>
      <c r="S659" s="12">
        <v>4.776622646810902</v>
      </c>
    </row>
    <row r="660" spans="12:19">
      <c r="L660" t="s">
        <v>68</v>
      </c>
      <c r="M660" s="15">
        <v>46132</v>
      </c>
      <c r="N660" t="b">
        <v>0</v>
      </c>
      <c r="O660" s="10">
        <v>7133</v>
      </c>
      <c r="P660" s="10">
        <v>49</v>
      </c>
      <c r="Q660" s="10">
        <v>20</v>
      </c>
      <c r="R660" s="12">
        <v>6.869479882237488</v>
      </c>
      <c r="S660" s="12">
        <v>2.803869339688771</v>
      </c>
    </row>
    <row r="661" spans="12:19">
      <c r="L661" t="s">
        <v>68</v>
      </c>
      <c r="M661" s="15">
        <v>46139</v>
      </c>
      <c r="N661" t="b">
        <v>0</v>
      </c>
      <c r="O661" s="10">
        <v>7072</v>
      </c>
      <c r="P661" s="10">
        <v>62</v>
      </c>
      <c r="Q661" s="10">
        <v>24</v>
      </c>
      <c r="R661" s="12">
        <v>8.766968325791856</v>
      </c>
      <c r="S661" s="12">
        <v>3.393665158371041</v>
      </c>
    </row>
    <row r="662" spans="12:19">
      <c r="L662" t="s">
        <v>68</v>
      </c>
      <c r="M662" s="15">
        <v>46146</v>
      </c>
      <c r="N662" t="b">
        <v>0</v>
      </c>
      <c r="O662" s="10">
        <v>7053</v>
      </c>
      <c r="P662" s="10">
        <v>60</v>
      </c>
      <c r="Q662" s="10">
        <v>30</v>
      </c>
      <c r="R662" s="12">
        <v>8.507018290089324</v>
      </c>
      <c r="S662" s="12">
        <v>4.253509145044662</v>
      </c>
    </row>
    <row r="663" spans="12:19">
      <c r="L663" t="s">
        <v>68</v>
      </c>
      <c r="M663" s="15">
        <v>46153</v>
      </c>
      <c r="N663" t="b">
        <v>0</v>
      </c>
      <c r="O663" s="10">
        <v>7037</v>
      </c>
      <c r="P663" s="10">
        <v>35</v>
      </c>
      <c r="Q663" s="10">
        <v>23</v>
      </c>
      <c r="R663" s="12">
        <v>4.97371038794941</v>
      </c>
      <c r="S663" s="12">
        <v>3.268438254938184</v>
      </c>
    </row>
    <row r="664" spans="12:19">
      <c r="L664" t="s">
        <v>68</v>
      </c>
      <c r="M664" s="15">
        <v>46160</v>
      </c>
      <c r="N664" t="b">
        <v>0</v>
      </c>
      <c r="O664" s="10">
        <v>7033</v>
      </c>
      <c r="P664" s="10">
        <v>35</v>
      </c>
      <c r="Q664" s="10">
        <v>36</v>
      </c>
      <c r="R664" s="12">
        <v>4.976539172472629</v>
      </c>
      <c r="S664" s="12">
        <v>5.118726005971847</v>
      </c>
    </row>
    <row r="665" spans="12:19">
      <c r="L665" t="s">
        <v>68</v>
      </c>
      <c r="M665" s="15">
        <v>46167</v>
      </c>
      <c r="N665" t="b">
        <v>0</v>
      </c>
      <c r="O665" s="10">
        <v>7079</v>
      </c>
      <c r="P665" s="10">
        <v>81</v>
      </c>
      <c r="Q665" s="10">
        <v>64</v>
      </c>
      <c r="R665" s="12">
        <v>11.44229410933748</v>
      </c>
      <c r="S665" s="12">
        <v>9.040824975278994</v>
      </c>
    </row>
    <row r="666" spans="12:19">
      <c r="L666" t="s">
        <v>68</v>
      </c>
      <c r="M666" s="15">
        <v>46174</v>
      </c>
      <c r="N666" t="b">
        <v>0</v>
      </c>
      <c r="O666" s="10">
        <v>7265</v>
      </c>
      <c r="P666" s="10">
        <v>41</v>
      </c>
      <c r="Q666" s="10">
        <v>18</v>
      </c>
      <c r="R666" s="12">
        <v>5.643496214728149</v>
      </c>
      <c r="S666" s="12">
        <v>2.477632484514797</v>
      </c>
    </row>
    <row r="667" spans="12:19">
      <c r="L667" t="s">
        <v>68</v>
      </c>
      <c r="M667" s="15">
        <v>46181</v>
      </c>
      <c r="N667" t="b">
        <v>0</v>
      </c>
      <c r="O667" s="10">
        <v>7069</v>
      </c>
      <c r="P667" s="10">
        <v>129</v>
      </c>
      <c r="Q667" s="10">
        <v>129</v>
      </c>
      <c r="R667" s="12">
        <v>18.24869146979771</v>
      </c>
      <c r="S667" s="12">
        <v>18.24869146979771</v>
      </c>
    </row>
    <row r="668" spans="12:19">
      <c r="L668" t="s">
        <v>68</v>
      </c>
      <c r="M668" s="15">
        <v>46188</v>
      </c>
      <c r="N668" t="b">
        <v>0</v>
      </c>
      <c r="O668" s="10">
        <v>7005</v>
      </c>
      <c r="P668" s="10">
        <v>37</v>
      </c>
      <c r="Q668" s="10">
        <v>30</v>
      </c>
      <c r="R668" s="12">
        <v>5.281941470378301</v>
      </c>
      <c r="S668" s="12">
        <v>4.282655246252677</v>
      </c>
    </row>
    <row r="669" spans="12:19">
      <c r="L669" t="s">
        <v>68</v>
      </c>
      <c r="M669" s="15">
        <v>46195</v>
      </c>
      <c r="N669" t="b">
        <v>0</v>
      </c>
      <c r="O669" s="10">
        <v>6993</v>
      </c>
      <c r="P669" s="10">
        <v>36</v>
      </c>
      <c r="Q669" s="10">
        <v>13</v>
      </c>
      <c r="R669" s="12">
        <v>5.148005148005148</v>
      </c>
      <c r="S669" s="12">
        <v>1.859001859001859</v>
      </c>
    </row>
    <row r="670" spans="12:19">
      <c r="L670" t="s">
        <v>68</v>
      </c>
      <c r="M670" s="15">
        <v>46202</v>
      </c>
      <c r="N670" t="b">
        <v>0</v>
      </c>
      <c r="O670" s="10">
        <v>6959</v>
      </c>
      <c r="P670" s="10">
        <v>38</v>
      </c>
      <c r="Q670" s="10">
        <v>26</v>
      </c>
      <c r="R670" s="12">
        <v>5.460554677396178</v>
      </c>
      <c r="S670" s="12">
        <v>3.736168989797385</v>
      </c>
    </row>
    <row r="671" spans="12:19">
      <c r="L671" t="s">
        <v>68</v>
      </c>
      <c r="M671" s="15">
        <v>46209</v>
      </c>
      <c r="N671" t="b">
        <v>0</v>
      </c>
      <c r="O671" s="10">
        <v>6948</v>
      </c>
      <c r="P671" s="10">
        <v>52</v>
      </c>
      <c r="Q671" s="10">
        <v>18</v>
      </c>
      <c r="R671" s="12">
        <v>7.484168105929764</v>
      </c>
      <c r="S671" s="12">
        <v>2.590673575129534</v>
      </c>
    </row>
    <row r="672" spans="12:19">
      <c r="L672" t="s">
        <v>68</v>
      </c>
      <c r="M672" s="15">
        <v>46216</v>
      </c>
      <c r="N672" t="b">
        <v>0</v>
      </c>
      <c r="O672" s="10">
        <v>6945</v>
      </c>
      <c r="P672" s="10">
        <v>34</v>
      </c>
      <c r="Q672" s="10">
        <v>56</v>
      </c>
      <c r="R672" s="12">
        <v>4.895608351331894</v>
      </c>
      <c r="S672" s="12">
        <v>8.063354931605472</v>
      </c>
    </row>
    <row r="673" spans="12:19">
      <c r="L673" t="s">
        <v>68</v>
      </c>
      <c r="M673" s="15">
        <v>46223</v>
      </c>
      <c r="N673" t="b">
        <v>0</v>
      </c>
      <c r="O673" s="10">
        <v>6982</v>
      </c>
      <c r="P673" s="10">
        <v>63</v>
      </c>
      <c r="Q673" s="10">
        <v>54</v>
      </c>
      <c r="R673" s="12">
        <v>9.023202520767688</v>
      </c>
      <c r="S673" s="12">
        <v>7.734173589229447</v>
      </c>
    </row>
    <row r="674" spans="12:19">
      <c r="L674" t="s">
        <v>68</v>
      </c>
      <c r="M674" s="15">
        <v>46230</v>
      </c>
      <c r="N674" t="b">
        <v>0</v>
      </c>
      <c r="O674" s="10">
        <v>6993</v>
      </c>
      <c r="P674" s="10">
        <v>53</v>
      </c>
      <c r="Q674" s="10">
        <v>20</v>
      </c>
      <c r="R674" s="12">
        <v>7.579007579007579</v>
      </c>
      <c r="S674" s="12">
        <v>2.86000286000286</v>
      </c>
    </row>
    <row r="675" spans="12:19">
      <c r="L675" t="s">
        <v>68</v>
      </c>
      <c r="M675" s="15">
        <v>46237</v>
      </c>
      <c r="N675" t="b">
        <v>0</v>
      </c>
      <c r="O675" s="10">
        <v>6985</v>
      </c>
      <c r="P675" s="10">
        <v>60</v>
      </c>
      <c r="Q675" s="10">
        <v>34</v>
      </c>
      <c r="R675" s="12">
        <v>8.589835361488905</v>
      </c>
      <c r="S675" s="12">
        <v>4.867573371510379</v>
      </c>
    </row>
    <row r="676" spans="12:19">
      <c r="L676" t="s">
        <v>68</v>
      </c>
      <c r="M676" s="15">
        <v>46244</v>
      </c>
      <c r="N676" t="b">
        <v>0</v>
      </c>
      <c r="O676" s="10">
        <v>7076</v>
      </c>
      <c r="P676" s="10">
        <v>104</v>
      </c>
      <c r="Q676" s="10">
        <v>37</v>
      </c>
      <c r="R676" s="12">
        <v>14.6975692481628</v>
      </c>
      <c r="S676" s="12">
        <v>5.228942905596382</v>
      </c>
    </row>
    <row r="677" spans="12:19">
      <c r="L677" t="s">
        <v>68</v>
      </c>
      <c r="M677" s="15">
        <v>46251</v>
      </c>
      <c r="N677" t="b">
        <v>0</v>
      </c>
      <c r="O677" s="10">
        <v>7063</v>
      </c>
      <c r="P677" s="10">
        <v>62</v>
      </c>
      <c r="Q677" s="10">
        <v>38</v>
      </c>
      <c r="R677" s="12">
        <v>8.778139600736232</v>
      </c>
      <c r="S677" s="12">
        <v>5.380150077870593</v>
      </c>
    </row>
    <row r="678" spans="12:19">
      <c r="L678" t="s">
        <v>68</v>
      </c>
      <c r="M678" s="15">
        <v>46258</v>
      </c>
      <c r="N678" t="b">
        <v>0</v>
      </c>
      <c r="O678" s="10">
        <v>7051</v>
      </c>
      <c r="P678" s="10">
        <v>70</v>
      </c>
      <c r="Q678" s="10">
        <v>32</v>
      </c>
      <c r="R678" s="12">
        <v>9.927669834066091</v>
      </c>
      <c r="S678" s="12">
        <v>4.538363352715927</v>
      </c>
    </row>
    <row r="679" spans="12:19">
      <c r="L679" t="s">
        <v>68</v>
      </c>
      <c r="M679" s="15">
        <v>46265</v>
      </c>
      <c r="N679" t="b">
        <v>0</v>
      </c>
      <c r="O679" s="10">
        <v>7010</v>
      </c>
      <c r="P679" s="10">
        <v>113</v>
      </c>
      <c r="Q679" s="10">
        <v>43</v>
      </c>
      <c r="R679" s="12">
        <v>16.11982881597718</v>
      </c>
      <c r="S679" s="12">
        <v>6.134094151212554</v>
      </c>
    </row>
    <row r="680" spans="12:19">
      <c r="L680" t="s">
        <v>68</v>
      </c>
      <c r="M680" s="15">
        <v>46272</v>
      </c>
      <c r="N680" t="b">
        <v>0</v>
      </c>
      <c r="O680" s="10">
        <v>6960</v>
      </c>
      <c r="P680" s="10">
        <v>57</v>
      </c>
      <c r="Q680" s="10">
        <v>47</v>
      </c>
      <c r="R680" s="12">
        <v>8.189655172413794</v>
      </c>
      <c r="S680" s="12">
        <v>6.752873563218391</v>
      </c>
    </row>
    <row r="681" spans="12:19">
      <c r="L681" t="s">
        <v>68</v>
      </c>
      <c r="M681" s="15">
        <v>46279</v>
      </c>
      <c r="N681" t="b">
        <v>0</v>
      </c>
      <c r="O681" s="10">
        <v>6860</v>
      </c>
      <c r="P681" s="10">
        <v>25</v>
      </c>
      <c r="Q681" s="10">
        <v>21</v>
      </c>
      <c r="R681" s="12">
        <v>3.644314868804665</v>
      </c>
      <c r="S681" s="12">
        <v>3.061224489795918</v>
      </c>
    </row>
    <row r="682" spans="12:19">
      <c r="L682" t="s">
        <v>68</v>
      </c>
      <c r="M682" s="15">
        <v>46286</v>
      </c>
      <c r="N682" t="b">
        <v>0</v>
      </c>
      <c r="O682" s="10">
        <v>6913</v>
      </c>
      <c r="P682" s="10">
        <v>99</v>
      </c>
      <c r="Q682" s="10">
        <v>30</v>
      </c>
      <c r="R682" s="12">
        <v>14.32084478518733</v>
      </c>
      <c r="S682" s="12">
        <v>4.339649934905251</v>
      </c>
    </row>
    <row r="683" spans="12:19">
      <c r="L683" t="s">
        <v>68</v>
      </c>
      <c r="M683" s="15">
        <v>46293</v>
      </c>
      <c r="N683" t="b">
        <v>0</v>
      </c>
      <c r="O683" s="10">
        <v>6699</v>
      </c>
      <c r="P683" s="10">
        <v>75</v>
      </c>
      <c r="Q683" s="10">
        <v>50</v>
      </c>
      <c r="R683" s="12">
        <v>11.19570085087326</v>
      </c>
      <c r="S683" s="12">
        <v>7.463800567248843</v>
      </c>
    </row>
    <row r="684" spans="12:19">
      <c r="L684" t="s">
        <v>68</v>
      </c>
      <c r="M684" s="15">
        <v>46300</v>
      </c>
      <c r="N684" t="b">
        <v>0</v>
      </c>
      <c r="O684" s="10">
        <v>6676</v>
      </c>
      <c r="P684" s="10">
        <v>93</v>
      </c>
      <c r="Q684" s="10">
        <v>55</v>
      </c>
      <c r="R684" s="12">
        <v>13.93049730377472</v>
      </c>
      <c r="S684" s="12">
        <v>8.238466147393648</v>
      </c>
    </row>
    <row r="685" spans="12:19">
      <c r="L685" t="s">
        <v>70</v>
      </c>
      <c r="M685" s="15">
        <v>45488</v>
      </c>
      <c r="N685" t="b">
        <v>0</v>
      </c>
      <c r="O685" s="10">
        <v>12219</v>
      </c>
      <c r="P685" s="10">
        <v>58</v>
      </c>
      <c r="Q685" s="10">
        <v>54</v>
      </c>
      <c r="R685" s="12">
        <v>4.746705949750389</v>
      </c>
      <c r="S685" s="12">
        <v>4.419346918733121</v>
      </c>
    </row>
    <row r="686" spans="12:19">
      <c r="L686" t="s">
        <v>70</v>
      </c>
      <c r="M686" s="15">
        <v>45495</v>
      </c>
      <c r="N686" t="b">
        <v>0</v>
      </c>
      <c r="O686" s="10">
        <v>12175</v>
      </c>
      <c r="P686" s="10">
        <v>68</v>
      </c>
      <c r="Q686" s="10">
        <v>24</v>
      </c>
      <c r="R686" s="12">
        <v>5.585215605749487</v>
      </c>
      <c r="S686" s="12">
        <v>1.971252566735113</v>
      </c>
    </row>
    <row r="687" spans="12:19">
      <c r="L687" t="s">
        <v>70</v>
      </c>
      <c r="M687" s="15">
        <v>45502</v>
      </c>
      <c r="N687" t="b">
        <v>0</v>
      </c>
      <c r="O687" s="10">
        <v>12281</v>
      </c>
      <c r="P687" s="10">
        <v>74</v>
      </c>
      <c r="Q687" s="10">
        <v>11</v>
      </c>
      <c r="R687" s="12">
        <v>6.025567950492631</v>
      </c>
      <c r="S687" s="12">
        <v>0.895692533181337</v>
      </c>
    </row>
    <row r="688" spans="12:19">
      <c r="L688" t="s">
        <v>70</v>
      </c>
      <c r="M688" s="15">
        <v>45509</v>
      </c>
      <c r="N688" t="b">
        <v>0</v>
      </c>
      <c r="O688" s="10">
        <v>12298</v>
      </c>
      <c r="P688" s="10">
        <v>94</v>
      </c>
      <c r="Q688" s="10">
        <v>30</v>
      </c>
      <c r="R688" s="12">
        <v>7.643519271426248</v>
      </c>
      <c r="S688" s="12">
        <v>2.439421044072207</v>
      </c>
    </row>
    <row r="689" spans="12:19">
      <c r="L689" t="s">
        <v>70</v>
      </c>
      <c r="M689" s="15">
        <v>45516</v>
      </c>
      <c r="N689" t="b">
        <v>0</v>
      </c>
      <c r="O689" s="10">
        <v>12247</v>
      </c>
      <c r="P689" s="10">
        <v>249</v>
      </c>
      <c r="Q689" s="10">
        <v>49</v>
      </c>
      <c r="R689" s="12">
        <v>20.33150975749163</v>
      </c>
      <c r="S689" s="12">
        <v>4.000979831795542</v>
      </c>
    </row>
    <row r="690" spans="12:19">
      <c r="L690" t="s">
        <v>70</v>
      </c>
      <c r="M690" s="15">
        <v>45523</v>
      </c>
      <c r="N690" t="b">
        <v>0</v>
      </c>
      <c r="O690" s="10">
        <v>12292</v>
      </c>
      <c r="P690" s="10">
        <v>60</v>
      </c>
      <c r="Q690" s="10">
        <v>14</v>
      </c>
      <c r="R690" s="12">
        <v>4.88122356003905</v>
      </c>
      <c r="S690" s="12">
        <v>1.138952164009112</v>
      </c>
    </row>
    <row r="691" spans="12:19">
      <c r="L691" t="s">
        <v>70</v>
      </c>
      <c r="M691" s="15">
        <v>45530</v>
      </c>
      <c r="N691" t="b">
        <v>0</v>
      </c>
      <c r="O691" s="10">
        <v>12281</v>
      </c>
      <c r="P691" s="10">
        <v>34</v>
      </c>
      <c r="Q691" s="10">
        <v>33</v>
      </c>
      <c r="R691" s="12">
        <v>2.768504193469587</v>
      </c>
      <c r="S691" s="12">
        <v>2.687077599544012</v>
      </c>
    </row>
    <row r="692" spans="12:19">
      <c r="L692" t="s">
        <v>70</v>
      </c>
      <c r="M692" s="15">
        <v>45537</v>
      </c>
      <c r="N692" t="b">
        <v>0</v>
      </c>
      <c r="O692" s="10">
        <v>12306</v>
      </c>
      <c r="P692" s="10">
        <v>57</v>
      </c>
      <c r="Q692" s="10">
        <v>39</v>
      </c>
      <c r="R692" s="12">
        <v>4.631886884446612</v>
      </c>
      <c r="S692" s="12">
        <v>3.169185763042418</v>
      </c>
    </row>
    <row r="693" spans="12:19">
      <c r="L693" t="s">
        <v>70</v>
      </c>
      <c r="M693" s="15">
        <v>45544</v>
      </c>
      <c r="N693" t="b">
        <v>0</v>
      </c>
      <c r="O693" s="10">
        <v>12340</v>
      </c>
      <c r="P693" s="10">
        <v>60</v>
      </c>
      <c r="Q693" s="10">
        <v>7</v>
      </c>
      <c r="R693" s="12">
        <v>4.862236628849271</v>
      </c>
      <c r="S693" s="12">
        <v>0.5672609400324149</v>
      </c>
    </row>
    <row r="694" spans="12:19">
      <c r="L694" t="s">
        <v>70</v>
      </c>
      <c r="M694" s="15">
        <v>45551</v>
      </c>
      <c r="N694" t="b">
        <v>0</v>
      </c>
      <c r="O694" s="10">
        <v>12341</v>
      </c>
      <c r="P694" s="10">
        <v>94</v>
      </c>
      <c r="Q694" s="10">
        <v>28</v>
      </c>
      <c r="R694" s="12">
        <v>7.616886800097236</v>
      </c>
      <c r="S694" s="12">
        <v>2.268859897901304</v>
      </c>
    </row>
    <row r="695" spans="12:19">
      <c r="L695" t="s">
        <v>70</v>
      </c>
      <c r="M695" s="15">
        <v>45558</v>
      </c>
      <c r="N695" t="b">
        <v>0</v>
      </c>
      <c r="O695" s="10">
        <v>12267</v>
      </c>
      <c r="P695" s="10">
        <v>121</v>
      </c>
      <c r="Q695" s="10">
        <v>46</v>
      </c>
      <c r="R695" s="12">
        <v>9.863862395043611</v>
      </c>
      <c r="S695" s="12">
        <v>3.749898100595093</v>
      </c>
    </row>
    <row r="696" spans="12:19">
      <c r="L696" t="s">
        <v>70</v>
      </c>
      <c r="M696" s="15">
        <v>45565</v>
      </c>
      <c r="N696" t="b">
        <v>0</v>
      </c>
      <c r="O696" s="10">
        <v>12238</v>
      </c>
      <c r="P696" s="10">
        <v>85</v>
      </c>
      <c r="Q696" s="10">
        <v>42</v>
      </c>
      <c r="R696" s="12">
        <v>6.945579343029907</v>
      </c>
      <c r="S696" s="12">
        <v>3.431933322438307</v>
      </c>
    </row>
    <row r="697" spans="12:19">
      <c r="L697" t="s">
        <v>70</v>
      </c>
      <c r="M697" s="15">
        <v>45572</v>
      </c>
      <c r="N697" t="b">
        <v>0</v>
      </c>
      <c r="O697" s="10">
        <v>12201</v>
      </c>
      <c r="P697" s="10">
        <v>27</v>
      </c>
      <c r="Q697" s="10">
        <v>6</v>
      </c>
      <c r="R697" s="12">
        <v>2.212933366117531</v>
      </c>
      <c r="S697" s="12">
        <v>0.4917629702483403</v>
      </c>
    </row>
    <row r="698" spans="12:19">
      <c r="L698" t="s">
        <v>70</v>
      </c>
      <c r="M698" s="15">
        <v>45579</v>
      </c>
      <c r="N698" t="b">
        <v>0</v>
      </c>
      <c r="O698" s="10">
        <v>12176</v>
      </c>
      <c r="P698" s="10">
        <v>96</v>
      </c>
      <c r="Q698" s="10">
        <v>52</v>
      </c>
      <c r="R698" s="12">
        <v>7.884362680683312</v>
      </c>
      <c r="S698" s="12">
        <v>4.270696452036794</v>
      </c>
    </row>
    <row r="699" spans="12:19">
      <c r="L699" t="s">
        <v>70</v>
      </c>
      <c r="M699" s="15">
        <v>45586</v>
      </c>
      <c r="N699" t="b">
        <v>0</v>
      </c>
      <c r="O699" s="10">
        <v>12178</v>
      </c>
      <c r="P699" s="10">
        <v>12</v>
      </c>
      <c r="Q699" s="10">
        <v>13</v>
      </c>
      <c r="R699" s="12">
        <v>0.9853834784036788</v>
      </c>
      <c r="S699" s="12">
        <v>1.067498768270652</v>
      </c>
    </row>
    <row r="700" spans="12:19">
      <c r="L700" t="s">
        <v>70</v>
      </c>
      <c r="M700" s="15">
        <v>45593</v>
      </c>
      <c r="N700" t="b">
        <v>0</v>
      </c>
      <c r="O700" s="10">
        <v>12198</v>
      </c>
      <c r="P700" s="10">
        <v>20</v>
      </c>
      <c r="Q700" s="10">
        <v>7</v>
      </c>
      <c r="R700" s="12">
        <v>1.639613051319888</v>
      </c>
      <c r="S700" s="12">
        <v>0.5738645679619609</v>
      </c>
    </row>
    <row r="701" spans="12:19">
      <c r="L701" t="s">
        <v>70</v>
      </c>
      <c r="M701" s="15">
        <v>45600</v>
      </c>
      <c r="N701" t="b">
        <v>1</v>
      </c>
      <c r="O701" s="10">
        <v>12231</v>
      </c>
      <c r="P701" s="10">
        <v>55</v>
      </c>
      <c r="Q701" s="10">
        <v>40</v>
      </c>
      <c r="R701" s="12">
        <v>4.496770501185512</v>
      </c>
      <c r="S701" s="12">
        <v>3.270378546316736</v>
      </c>
    </row>
    <row r="702" spans="12:19">
      <c r="L702" t="s">
        <v>70</v>
      </c>
      <c r="M702" s="15">
        <v>45607</v>
      </c>
      <c r="N702" t="b">
        <v>1</v>
      </c>
      <c r="O702" s="10">
        <v>12231</v>
      </c>
      <c r="P702" s="10">
        <v>101</v>
      </c>
      <c r="Q702" s="10">
        <v>48</v>
      </c>
      <c r="R702" s="12">
        <v>8.257705829449758</v>
      </c>
      <c r="S702" s="12">
        <v>3.924454255580083</v>
      </c>
    </row>
    <row r="703" spans="12:19">
      <c r="L703" t="s">
        <v>70</v>
      </c>
      <c r="M703" s="15">
        <v>45614</v>
      </c>
      <c r="N703" t="b">
        <v>1</v>
      </c>
      <c r="O703" s="10">
        <v>12210</v>
      </c>
      <c r="P703" s="10">
        <v>95</v>
      </c>
      <c r="Q703" s="10">
        <v>115</v>
      </c>
      <c r="R703" s="12">
        <v>7.78050778050778</v>
      </c>
      <c r="S703" s="12">
        <v>9.418509418509419</v>
      </c>
    </row>
    <row r="704" spans="12:19">
      <c r="L704" t="s">
        <v>70</v>
      </c>
      <c r="M704" s="15">
        <v>45621</v>
      </c>
      <c r="N704" t="b">
        <v>1</v>
      </c>
      <c r="O704" s="10">
        <v>12173</v>
      </c>
      <c r="P704" s="10">
        <v>45</v>
      </c>
      <c r="Q704" s="10">
        <v>45</v>
      </c>
      <c r="R704" s="12">
        <v>3.696705824365399</v>
      </c>
      <c r="S704" s="12">
        <v>3.696705824365399</v>
      </c>
    </row>
    <row r="705" spans="12:19">
      <c r="L705" t="s">
        <v>70</v>
      </c>
      <c r="M705" s="15">
        <v>45628</v>
      </c>
      <c r="N705" t="b">
        <v>1</v>
      </c>
      <c r="O705" s="10">
        <v>12233</v>
      </c>
      <c r="P705" s="10">
        <v>73</v>
      </c>
      <c r="Q705" s="10">
        <v>43</v>
      </c>
      <c r="R705" s="12">
        <v>5.967465053543694</v>
      </c>
      <c r="S705" s="12">
        <v>3.515082154827107</v>
      </c>
    </row>
    <row r="706" spans="12:19">
      <c r="L706" t="s">
        <v>70</v>
      </c>
      <c r="M706" s="15">
        <v>45635</v>
      </c>
      <c r="N706" t="b">
        <v>1</v>
      </c>
      <c r="O706" s="10">
        <v>12244</v>
      </c>
      <c r="P706" s="10">
        <v>12</v>
      </c>
      <c r="Q706" s="10">
        <v>15</v>
      </c>
      <c r="R706" s="12">
        <v>0.9800718719372754</v>
      </c>
      <c r="S706" s="12">
        <v>1.225089839921594</v>
      </c>
    </row>
    <row r="707" spans="12:19">
      <c r="L707" t="s">
        <v>70</v>
      </c>
      <c r="M707" s="15">
        <v>45642</v>
      </c>
      <c r="N707" t="b">
        <v>1</v>
      </c>
      <c r="O707" s="10">
        <v>12220</v>
      </c>
      <c r="P707" s="10">
        <v>44</v>
      </c>
      <c r="Q707" s="10">
        <v>7</v>
      </c>
      <c r="R707" s="12">
        <v>3.600654664484452</v>
      </c>
      <c r="S707" s="12">
        <v>0.5728314238952537</v>
      </c>
    </row>
    <row r="708" spans="12:19">
      <c r="L708" t="s">
        <v>70</v>
      </c>
      <c r="M708" s="15">
        <v>45649</v>
      </c>
      <c r="N708" t="b">
        <v>1</v>
      </c>
      <c r="O708" s="10">
        <v>12130</v>
      </c>
      <c r="P708" s="10">
        <v>9</v>
      </c>
      <c r="Q708" s="10">
        <v>6</v>
      </c>
      <c r="R708" s="12">
        <v>0.7419620774938169</v>
      </c>
      <c r="S708" s="12">
        <v>0.494641384995878</v>
      </c>
    </row>
    <row r="709" spans="12:19">
      <c r="L709" t="s">
        <v>70</v>
      </c>
      <c r="M709" s="15">
        <v>45656</v>
      </c>
      <c r="N709" t="b">
        <v>1</v>
      </c>
      <c r="O709" s="10">
        <v>12162</v>
      </c>
      <c r="P709" s="10">
        <v>14</v>
      </c>
      <c r="Q709" s="10">
        <v>6</v>
      </c>
      <c r="R709" s="12">
        <v>1.151126459463904</v>
      </c>
      <c r="S709" s="12">
        <v>0.493339911198816</v>
      </c>
    </row>
    <row r="710" spans="12:19">
      <c r="L710" t="s">
        <v>70</v>
      </c>
      <c r="M710" s="15">
        <v>45663</v>
      </c>
      <c r="N710" t="b">
        <v>1</v>
      </c>
      <c r="O710" s="10">
        <v>12125</v>
      </c>
      <c r="P710" s="10">
        <v>98</v>
      </c>
      <c r="Q710" s="10">
        <v>37</v>
      </c>
      <c r="R710" s="12">
        <v>8.082474226804123</v>
      </c>
      <c r="S710" s="12">
        <v>3.051546391752577</v>
      </c>
    </row>
    <row r="711" spans="12:19">
      <c r="L711" t="s">
        <v>70</v>
      </c>
      <c r="M711" s="15">
        <v>45670</v>
      </c>
      <c r="N711" t="b">
        <v>1</v>
      </c>
      <c r="O711" s="10">
        <v>12169</v>
      </c>
      <c r="P711" s="10">
        <v>116</v>
      </c>
      <c r="Q711" s="10">
        <v>40</v>
      </c>
      <c r="R711" s="12">
        <v>9.53241844029912</v>
      </c>
      <c r="S711" s="12">
        <v>3.287040841482455</v>
      </c>
    </row>
    <row r="712" spans="12:19">
      <c r="L712" t="s">
        <v>70</v>
      </c>
      <c r="M712" s="15">
        <v>45677</v>
      </c>
      <c r="N712" t="b">
        <v>1</v>
      </c>
      <c r="O712" s="10">
        <v>12113</v>
      </c>
      <c r="P712" s="10">
        <v>56</v>
      </c>
      <c r="Q712" s="10">
        <v>4</v>
      </c>
      <c r="R712" s="12">
        <v>4.623132172046562</v>
      </c>
      <c r="S712" s="12">
        <v>0.3302237265747544</v>
      </c>
    </row>
    <row r="713" spans="12:19">
      <c r="L713" t="s">
        <v>70</v>
      </c>
      <c r="M713" s="15">
        <v>45684</v>
      </c>
      <c r="N713" t="b">
        <v>1</v>
      </c>
      <c r="O713" s="10">
        <v>12109</v>
      </c>
      <c r="P713" s="10">
        <v>89</v>
      </c>
      <c r="Q713" s="10">
        <v>11</v>
      </c>
      <c r="R713" s="12">
        <v>7.349905029317036</v>
      </c>
      <c r="S713" s="12">
        <v>0.9084152283425552</v>
      </c>
    </row>
    <row r="714" spans="12:19">
      <c r="L714" t="s">
        <v>70</v>
      </c>
      <c r="M714" s="15">
        <v>45691</v>
      </c>
      <c r="N714" t="b">
        <v>0</v>
      </c>
      <c r="O714" s="10">
        <v>12086</v>
      </c>
      <c r="P714" s="10">
        <v>175</v>
      </c>
      <c r="Q714" s="10">
        <v>13</v>
      </c>
      <c r="R714" s="12">
        <v>14.47956313089525</v>
      </c>
      <c r="S714" s="12">
        <v>1.075624689723647</v>
      </c>
    </row>
    <row r="715" spans="12:19">
      <c r="L715" t="s">
        <v>70</v>
      </c>
      <c r="M715" s="15">
        <v>45698</v>
      </c>
      <c r="N715" t="b">
        <v>0</v>
      </c>
      <c r="O715" s="10">
        <v>17513</v>
      </c>
      <c r="P715" s="10">
        <v>22</v>
      </c>
      <c r="Q715" s="10">
        <v>9</v>
      </c>
      <c r="R715" s="12">
        <v>1.256209672814481</v>
      </c>
      <c r="S715" s="12">
        <v>0.5139039570604693</v>
      </c>
    </row>
    <row r="716" spans="12:19">
      <c r="L716" t="s">
        <v>70</v>
      </c>
      <c r="M716" s="15">
        <v>45705</v>
      </c>
      <c r="N716" t="b">
        <v>0</v>
      </c>
      <c r="O716" s="10">
        <v>18635</v>
      </c>
      <c r="P716" s="10">
        <v>163</v>
      </c>
      <c r="Q716" s="10">
        <v>22</v>
      </c>
      <c r="R716" s="12">
        <v>8.746981486450228</v>
      </c>
      <c r="S716" s="12">
        <v>1.180574188355245</v>
      </c>
    </row>
    <row r="717" spans="12:19">
      <c r="L717" t="s">
        <v>70</v>
      </c>
      <c r="M717" s="15">
        <v>45712</v>
      </c>
      <c r="N717" t="b">
        <v>0</v>
      </c>
      <c r="O717" s="10">
        <v>10177</v>
      </c>
      <c r="P717" s="10">
        <v>109</v>
      </c>
      <c r="Q717" s="10">
        <v>19</v>
      </c>
      <c r="R717" s="12">
        <v>10.71042546919524</v>
      </c>
      <c r="S717" s="12">
        <v>1.866954898300088</v>
      </c>
    </row>
    <row r="718" spans="12:19">
      <c r="L718" t="s">
        <v>70</v>
      </c>
      <c r="M718" s="15">
        <v>45719</v>
      </c>
      <c r="N718" t="b">
        <v>0</v>
      </c>
      <c r="O718" s="10">
        <v>5271</v>
      </c>
      <c r="P718" s="10">
        <v>1</v>
      </c>
      <c r="Q718" s="10">
        <v>0</v>
      </c>
      <c r="R718" s="12">
        <v>0.1897173211914248</v>
      </c>
      <c r="S718" s="12">
        <v>0</v>
      </c>
    </row>
    <row r="719" spans="12:19">
      <c r="L719" t="s">
        <v>70</v>
      </c>
      <c r="M719" s="15">
        <v>45726</v>
      </c>
      <c r="N719" t="b">
        <v>0</v>
      </c>
      <c r="O719" s="10">
        <v>17390</v>
      </c>
      <c r="P719" s="10">
        <v>33</v>
      </c>
      <c r="Q719" s="10">
        <v>5</v>
      </c>
      <c r="R719" s="12">
        <v>1.897642323174238</v>
      </c>
      <c r="S719" s="12">
        <v>0.2875215641173088</v>
      </c>
    </row>
    <row r="720" spans="12:19">
      <c r="L720" t="s">
        <v>70</v>
      </c>
      <c r="M720" s="15">
        <v>45733</v>
      </c>
      <c r="N720" t="b">
        <v>0</v>
      </c>
      <c r="O720" s="10">
        <v>16129</v>
      </c>
      <c r="P720" s="10">
        <v>172</v>
      </c>
      <c r="Q720" s="10">
        <v>32</v>
      </c>
      <c r="R720" s="12">
        <v>10.66402132804266</v>
      </c>
      <c r="S720" s="12">
        <v>1.984003968007936</v>
      </c>
    </row>
    <row r="721" spans="12:19">
      <c r="L721" t="s">
        <v>70</v>
      </c>
      <c r="M721" s="15">
        <v>45740</v>
      </c>
      <c r="N721" t="b">
        <v>0</v>
      </c>
      <c r="O721" s="10">
        <v>16095</v>
      </c>
      <c r="P721" s="10">
        <v>59</v>
      </c>
      <c r="Q721" s="10">
        <v>5</v>
      </c>
      <c r="R721" s="12">
        <v>3.665734700217458</v>
      </c>
      <c r="S721" s="12">
        <v>0.3106554830692761</v>
      </c>
    </row>
    <row r="722" spans="12:19">
      <c r="L722" t="s">
        <v>70</v>
      </c>
      <c r="M722" s="15">
        <v>45747</v>
      </c>
      <c r="N722" t="b">
        <v>0</v>
      </c>
      <c r="O722" s="10">
        <v>16046</v>
      </c>
      <c r="P722" s="10">
        <v>425</v>
      </c>
      <c r="Q722" s="10">
        <v>65</v>
      </c>
      <c r="R722" s="12">
        <v>26.48635173875109</v>
      </c>
      <c r="S722" s="12">
        <v>4.050853795338402</v>
      </c>
    </row>
    <row r="723" spans="12:19">
      <c r="L723" t="s">
        <v>70</v>
      </c>
      <c r="M723" s="15">
        <v>45754</v>
      </c>
      <c r="N723" t="b">
        <v>0</v>
      </c>
      <c r="O723" s="10">
        <v>16084</v>
      </c>
      <c r="P723" s="10">
        <v>130</v>
      </c>
      <c r="Q723" s="10">
        <v>11</v>
      </c>
      <c r="R723" s="12">
        <v>8.082566525739866</v>
      </c>
      <c r="S723" s="12">
        <v>0.6839094752549117</v>
      </c>
    </row>
    <row r="724" spans="12:19">
      <c r="L724" t="s">
        <v>70</v>
      </c>
      <c r="M724" s="15">
        <v>45761</v>
      </c>
      <c r="N724" t="b">
        <v>0</v>
      </c>
      <c r="O724" s="10">
        <v>15985</v>
      </c>
      <c r="P724" s="10">
        <v>61</v>
      </c>
      <c r="Q724" s="10">
        <v>24</v>
      </c>
      <c r="R724" s="12">
        <v>3.816077572724429</v>
      </c>
      <c r="S724" s="12">
        <v>1.501407569596497</v>
      </c>
    </row>
    <row r="725" spans="12:19">
      <c r="L725" t="s">
        <v>70</v>
      </c>
      <c r="M725" s="15">
        <v>45768</v>
      </c>
      <c r="N725" t="b">
        <v>0</v>
      </c>
      <c r="O725" s="10">
        <v>15977</v>
      </c>
      <c r="P725" s="10">
        <v>53</v>
      </c>
      <c r="Q725" s="10">
        <v>19</v>
      </c>
      <c r="R725" s="12">
        <v>3.317268573574513</v>
      </c>
      <c r="S725" s="12">
        <v>1.18920948863992</v>
      </c>
    </row>
    <row r="726" spans="12:19">
      <c r="L726" t="s">
        <v>70</v>
      </c>
      <c r="M726" s="15">
        <v>45775</v>
      </c>
      <c r="N726" t="b">
        <v>0</v>
      </c>
      <c r="O726" s="10">
        <v>16049</v>
      </c>
      <c r="P726" s="10">
        <v>156</v>
      </c>
      <c r="Q726" s="10">
        <v>129</v>
      </c>
      <c r="R726" s="12">
        <v>9.720231790142687</v>
      </c>
      <c r="S726" s="12">
        <v>8.037883980310299</v>
      </c>
    </row>
    <row r="727" spans="12:19">
      <c r="L727" t="s">
        <v>70</v>
      </c>
      <c r="M727" s="15">
        <v>45782</v>
      </c>
      <c r="N727" t="b">
        <v>0</v>
      </c>
      <c r="O727" s="10">
        <v>15893</v>
      </c>
      <c r="P727" s="10">
        <v>247</v>
      </c>
      <c r="Q727" s="10">
        <v>42</v>
      </c>
      <c r="R727" s="12">
        <v>15.54143333543069</v>
      </c>
      <c r="S727" s="12">
        <v>2.642672874850563</v>
      </c>
    </row>
    <row r="728" spans="12:19">
      <c r="L728" t="s">
        <v>70</v>
      </c>
      <c r="M728" s="15">
        <v>45789</v>
      </c>
      <c r="N728" t="b">
        <v>0</v>
      </c>
      <c r="O728" s="10">
        <v>15845</v>
      </c>
      <c r="P728" s="10">
        <v>123</v>
      </c>
      <c r="Q728" s="10">
        <v>8</v>
      </c>
      <c r="R728" s="12">
        <v>7.762701167560745</v>
      </c>
      <c r="S728" s="12">
        <v>0.5048911328494793</v>
      </c>
    </row>
    <row r="729" spans="12:19">
      <c r="L729" t="s">
        <v>70</v>
      </c>
      <c r="M729" s="15">
        <v>45796</v>
      </c>
      <c r="N729" t="b">
        <v>0</v>
      </c>
      <c r="O729" s="10">
        <v>15773</v>
      </c>
      <c r="P729" s="10">
        <v>73</v>
      </c>
      <c r="Q729" s="10">
        <v>20</v>
      </c>
      <c r="R729" s="12">
        <v>4.628162049071197</v>
      </c>
      <c r="S729" s="12">
        <v>1.267989602485259</v>
      </c>
    </row>
    <row r="730" spans="12:19">
      <c r="L730" t="s">
        <v>70</v>
      </c>
      <c r="M730" s="15">
        <v>45803</v>
      </c>
      <c r="N730" t="b">
        <v>0</v>
      </c>
      <c r="O730" s="10">
        <v>15726</v>
      </c>
      <c r="P730" s="10">
        <v>57</v>
      </c>
      <c r="Q730" s="10">
        <v>13</v>
      </c>
      <c r="R730" s="12">
        <v>3.624570774513544</v>
      </c>
      <c r="S730" s="12">
        <v>0.8266564924329136</v>
      </c>
    </row>
    <row r="731" spans="12:19">
      <c r="L731" t="s">
        <v>70</v>
      </c>
      <c r="M731" s="15">
        <v>45810</v>
      </c>
      <c r="N731" t="b">
        <v>0</v>
      </c>
      <c r="O731" s="10">
        <v>15709</v>
      </c>
      <c r="P731" s="10">
        <v>203</v>
      </c>
      <c r="Q731" s="10">
        <v>38</v>
      </c>
      <c r="R731" s="12">
        <v>12.92252848685467</v>
      </c>
      <c r="S731" s="12">
        <v>2.418995480297919</v>
      </c>
    </row>
    <row r="732" spans="12:19">
      <c r="L732" t="s">
        <v>70</v>
      </c>
      <c r="M732" s="15">
        <v>45817</v>
      </c>
      <c r="N732" t="b">
        <v>0</v>
      </c>
      <c r="O732" s="10">
        <v>15476</v>
      </c>
      <c r="P732" s="10">
        <v>224</v>
      </c>
      <c r="Q732" s="10">
        <v>72</v>
      </c>
      <c r="R732" s="12">
        <v>14.47402429568364</v>
      </c>
      <c r="S732" s="12">
        <v>4.652364952184027</v>
      </c>
    </row>
    <row r="733" spans="12:19">
      <c r="L733" t="s">
        <v>70</v>
      </c>
      <c r="M733" s="15">
        <v>45824</v>
      </c>
      <c r="N733" t="b">
        <v>0</v>
      </c>
      <c r="O733" s="10">
        <v>15424</v>
      </c>
      <c r="P733" s="10">
        <v>164</v>
      </c>
      <c r="Q733" s="10">
        <v>21</v>
      </c>
      <c r="R733" s="12">
        <v>10.63278008298755</v>
      </c>
      <c r="S733" s="12">
        <v>1.361514522821577</v>
      </c>
    </row>
    <row r="734" spans="12:19">
      <c r="L734" t="s">
        <v>70</v>
      </c>
      <c r="M734" s="15">
        <v>45831</v>
      </c>
      <c r="N734" t="b">
        <v>0</v>
      </c>
      <c r="O734" s="10">
        <v>15404</v>
      </c>
      <c r="P734" s="10">
        <v>71</v>
      </c>
      <c r="Q734" s="10">
        <v>47</v>
      </c>
      <c r="R734" s="12">
        <v>4.609192417553882</v>
      </c>
      <c r="S734" s="12">
        <v>3.051155544014541</v>
      </c>
    </row>
    <row r="735" spans="12:19">
      <c r="L735" t="s">
        <v>70</v>
      </c>
      <c r="M735" s="15">
        <v>45838</v>
      </c>
      <c r="N735" t="b">
        <v>0</v>
      </c>
      <c r="O735" s="10">
        <v>15375</v>
      </c>
      <c r="P735" s="10">
        <v>153</v>
      </c>
      <c r="Q735" s="10">
        <v>10</v>
      </c>
      <c r="R735" s="12">
        <v>9.951219512195122</v>
      </c>
      <c r="S735" s="12">
        <v>0.6504065040650406</v>
      </c>
    </row>
    <row r="736" spans="12:19">
      <c r="L736" t="s">
        <v>70</v>
      </c>
      <c r="M736" s="15">
        <v>45845</v>
      </c>
      <c r="N736" t="b">
        <v>0</v>
      </c>
      <c r="O736" s="10">
        <v>15617</v>
      </c>
      <c r="P736" s="10">
        <v>100</v>
      </c>
      <c r="Q736" s="10">
        <v>46</v>
      </c>
      <c r="R736" s="12">
        <v>6.403278478581034</v>
      </c>
      <c r="S736" s="12">
        <v>2.945508100147276</v>
      </c>
    </row>
    <row r="737" spans="12:19">
      <c r="L737" t="s">
        <v>70</v>
      </c>
      <c r="M737" s="15">
        <v>45852</v>
      </c>
      <c r="N737" t="b">
        <v>0</v>
      </c>
      <c r="O737" s="10">
        <v>15610</v>
      </c>
      <c r="P737" s="10">
        <v>393</v>
      </c>
      <c r="Q737" s="10">
        <v>64</v>
      </c>
      <c r="R737" s="12">
        <v>25.17616912235746</v>
      </c>
      <c r="S737" s="12">
        <v>4.099935938500961</v>
      </c>
    </row>
    <row r="738" spans="12:19">
      <c r="L738" t="s">
        <v>70</v>
      </c>
      <c r="M738" s="15">
        <v>45859</v>
      </c>
      <c r="N738" t="b">
        <v>0</v>
      </c>
      <c r="O738" s="10">
        <v>15506</v>
      </c>
      <c r="P738" s="10">
        <v>156</v>
      </c>
      <c r="Q738" s="10">
        <v>63</v>
      </c>
      <c r="R738" s="12">
        <v>10.06062169482781</v>
      </c>
      <c r="S738" s="12">
        <v>4.062943376757384</v>
      </c>
    </row>
    <row r="739" spans="12:19">
      <c r="L739" t="s">
        <v>70</v>
      </c>
      <c r="M739" s="15">
        <v>45866</v>
      </c>
      <c r="N739" t="b">
        <v>0</v>
      </c>
      <c r="O739" s="10">
        <v>15509</v>
      </c>
      <c r="P739" s="10">
        <v>214</v>
      </c>
      <c r="Q739" s="10">
        <v>53</v>
      </c>
      <c r="R739" s="12">
        <v>13.79843961570701</v>
      </c>
      <c r="S739" s="12">
        <v>3.41737055903024</v>
      </c>
    </row>
    <row r="740" spans="12:19">
      <c r="L740" t="s">
        <v>70</v>
      </c>
      <c r="M740" s="15">
        <v>45873</v>
      </c>
      <c r="N740" t="b">
        <v>0</v>
      </c>
      <c r="O740" s="10">
        <v>15494</v>
      </c>
      <c r="P740" s="10">
        <v>104</v>
      </c>
      <c r="Q740" s="10">
        <v>3</v>
      </c>
      <c r="R740" s="12">
        <v>6.712275719633406</v>
      </c>
      <c r="S740" s="12">
        <v>0.1936233380663482</v>
      </c>
    </row>
    <row r="741" spans="12:19">
      <c r="L741" t="s">
        <v>70</v>
      </c>
      <c r="M741" s="15">
        <v>45894</v>
      </c>
      <c r="N741" t="b">
        <v>0</v>
      </c>
      <c r="O741" s="10">
        <v>15688</v>
      </c>
      <c r="P741" s="10">
        <v>0</v>
      </c>
      <c r="Q741" s="10">
        <v>0</v>
      </c>
      <c r="R741" s="12">
        <v>0</v>
      </c>
      <c r="S741" s="12">
        <v>0</v>
      </c>
    </row>
    <row r="742" spans="12:19">
      <c r="L742" t="s">
        <v>70</v>
      </c>
      <c r="M742" s="15">
        <v>45901</v>
      </c>
      <c r="N742" t="b">
        <v>0</v>
      </c>
      <c r="O742" s="10">
        <v>15766</v>
      </c>
      <c r="P742" s="10">
        <v>61</v>
      </c>
      <c r="Q742" s="10">
        <v>8</v>
      </c>
      <c r="R742" s="12">
        <v>3.869085373588735</v>
      </c>
      <c r="S742" s="12">
        <v>0.5074210326018014</v>
      </c>
    </row>
    <row r="743" spans="12:19">
      <c r="L743" t="s">
        <v>70</v>
      </c>
      <c r="M743" s="15">
        <v>45908</v>
      </c>
      <c r="N743" t="b">
        <v>0</v>
      </c>
      <c r="O743" s="10">
        <v>15797</v>
      </c>
      <c r="P743" s="10">
        <v>65</v>
      </c>
      <c r="Q743" s="10">
        <v>9</v>
      </c>
      <c r="R743" s="12">
        <v>4.114705323795658</v>
      </c>
      <c r="S743" s="12">
        <v>0.5697284294486294</v>
      </c>
    </row>
    <row r="744" spans="12:19">
      <c r="L744" t="s">
        <v>70</v>
      </c>
      <c r="M744" s="15">
        <v>45915</v>
      </c>
      <c r="N744" t="b">
        <v>0</v>
      </c>
      <c r="O744" s="10">
        <v>15807</v>
      </c>
      <c r="P744" s="10">
        <v>88</v>
      </c>
      <c r="Q744" s="10">
        <v>25</v>
      </c>
      <c r="R744" s="12">
        <v>5.567153792623521</v>
      </c>
      <c r="S744" s="12">
        <v>1.581577781995319</v>
      </c>
    </row>
    <row r="745" spans="12:19">
      <c r="L745" t="s">
        <v>70</v>
      </c>
      <c r="M745" s="15">
        <v>45922</v>
      </c>
      <c r="N745" t="b">
        <v>0</v>
      </c>
      <c r="O745" s="10">
        <v>15761</v>
      </c>
      <c r="P745" s="10">
        <v>161</v>
      </c>
      <c r="Q745" s="10">
        <v>92</v>
      </c>
      <c r="R745" s="12">
        <v>10.21508787513483</v>
      </c>
      <c r="S745" s="12">
        <v>5.837193071505615</v>
      </c>
    </row>
    <row r="746" spans="12:19">
      <c r="L746" t="s">
        <v>70</v>
      </c>
      <c r="M746" s="15">
        <v>45929</v>
      </c>
      <c r="N746" t="b">
        <v>0</v>
      </c>
      <c r="O746" s="10">
        <v>15699</v>
      </c>
      <c r="P746" s="10">
        <v>128</v>
      </c>
      <c r="Q746" s="10">
        <v>102</v>
      </c>
      <c r="R746" s="12">
        <v>8.153385565959615</v>
      </c>
      <c r="S746" s="12">
        <v>6.497229122874068</v>
      </c>
    </row>
    <row r="747" spans="12:19">
      <c r="L747" t="s">
        <v>70</v>
      </c>
      <c r="M747" s="15">
        <v>45936</v>
      </c>
      <c r="N747" t="b">
        <v>0</v>
      </c>
      <c r="O747" s="10">
        <v>15594</v>
      </c>
      <c r="P747" s="10">
        <v>132</v>
      </c>
      <c r="Q747" s="10">
        <v>60</v>
      </c>
      <c r="R747" s="12">
        <v>8.464794151596768</v>
      </c>
      <c r="S747" s="12">
        <v>3.847633705271257</v>
      </c>
    </row>
    <row r="748" spans="12:19">
      <c r="L748" t="s">
        <v>70</v>
      </c>
      <c r="M748" s="15">
        <v>45943</v>
      </c>
      <c r="N748" t="b">
        <v>0</v>
      </c>
      <c r="O748" s="10">
        <v>15498</v>
      </c>
      <c r="P748" s="10">
        <v>70</v>
      </c>
      <c r="Q748" s="10">
        <v>27</v>
      </c>
      <c r="R748" s="12">
        <v>4.516711833785005</v>
      </c>
      <c r="S748" s="12">
        <v>1.742160278745644</v>
      </c>
    </row>
    <row r="749" spans="12:19">
      <c r="L749" t="s">
        <v>70</v>
      </c>
      <c r="M749" s="15">
        <v>45950</v>
      </c>
      <c r="N749" t="b">
        <v>0</v>
      </c>
      <c r="O749" s="10">
        <v>15429</v>
      </c>
      <c r="P749" s="10">
        <v>71</v>
      </c>
      <c r="Q749" s="10">
        <v>14</v>
      </c>
      <c r="R749" s="12">
        <v>4.601724026184458</v>
      </c>
      <c r="S749" s="12">
        <v>0.9073822023462312</v>
      </c>
    </row>
    <row r="750" spans="12:19">
      <c r="L750" t="s">
        <v>70</v>
      </c>
      <c r="M750" s="15">
        <v>45957</v>
      </c>
      <c r="N750" t="b">
        <v>0</v>
      </c>
      <c r="O750" s="10">
        <v>15423</v>
      </c>
      <c r="P750" s="10">
        <v>195</v>
      </c>
      <c r="Q750" s="10">
        <v>87</v>
      </c>
      <c r="R750" s="12">
        <v>12.64345458082085</v>
      </c>
      <c r="S750" s="12">
        <v>5.640925889904688</v>
      </c>
    </row>
    <row r="751" spans="12:19">
      <c r="L751" t="s">
        <v>70</v>
      </c>
      <c r="M751" s="15">
        <v>45964</v>
      </c>
      <c r="N751" t="b">
        <v>1</v>
      </c>
      <c r="O751" s="10">
        <v>15481</v>
      </c>
      <c r="P751" s="10">
        <v>56</v>
      </c>
      <c r="Q751" s="10">
        <v>4</v>
      </c>
      <c r="R751" s="12">
        <v>3.617337381306117</v>
      </c>
      <c r="S751" s="12">
        <v>0.2583812415218655</v>
      </c>
    </row>
    <row r="752" spans="12:19">
      <c r="L752" t="s">
        <v>70</v>
      </c>
      <c r="M752" s="15">
        <v>45971</v>
      </c>
      <c r="N752" t="b">
        <v>1</v>
      </c>
      <c r="O752" s="10">
        <v>15725</v>
      </c>
      <c r="P752" s="10">
        <v>1576</v>
      </c>
      <c r="Q752" s="10">
        <v>23</v>
      </c>
      <c r="R752" s="12">
        <v>100.2225755166932</v>
      </c>
      <c r="S752" s="12">
        <v>1.462639109697933</v>
      </c>
    </row>
    <row r="753" spans="12:19">
      <c r="L753" t="s">
        <v>70</v>
      </c>
      <c r="M753" s="15">
        <v>45978</v>
      </c>
      <c r="N753" t="b">
        <v>1</v>
      </c>
      <c r="O753" s="10">
        <v>15780</v>
      </c>
      <c r="P753" s="10">
        <v>102</v>
      </c>
      <c r="Q753" s="10">
        <v>18</v>
      </c>
      <c r="R753" s="12">
        <v>6.463878326996197</v>
      </c>
      <c r="S753" s="12">
        <v>1.140684410646388</v>
      </c>
    </row>
    <row r="754" spans="12:19">
      <c r="L754" t="s">
        <v>70</v>
      </c>
      <c r="M754" s="15">
        <v>45985</v>
      </c>
      <c r="N754" t="b">
        <v>1</v>
      </c>
      <c r="O754" s="10">
        <v>15830</v>
      </c>
      <c r="P754" s="10">
        <v>93</v>
      </c>
      <c r="Q754" s="10">
        <v>15</v>
      </c>
      <c r="R754" s="12">
        <v>5.874921036007581</v>
      </c>
      <c r="S754" s="12">
        <v>0.9475679090334808</v>
      </c>
    </row>
    <row r="755" spans="12:19">
      <c r="L755" t="s">
        <v>70</v>
      </c>
      <c r="M755" s="15">
        <v>45992</v>
      </c>
      <c r="N755" t="b">
        <v>1</v>
      </c>
      <c r="O755" s="10">
        <v>15760</v>
      </c>
      <c r="P755" s="10">
        <v>497</v>
      </c>
      <c r="Q755" s="10">
        <v>49</v>
      </c>
      <c r="R755" s="12">
        <v>31.53553299492386</v>
      </c>
      <c r="S755" s="12">
        <v>3.109137055837564</v>
      </c>
    </row>
    <row r="756" spans="12:19">
      <c r="L756" t="s">
        <v>70</v>
      </c>
      <c r="M756" s="15">
        <v>45999</v>
      </c>
      <c r="N756" t="b">
        <v>1</v>
      </c>
      <c r="O756" s="10">
        <v>15592</v>
      </c>
      <c r="P756" s="10">
        <v>31</v>
      </c>
      <c r="Q756" s="10">
        <v>7</v>
      </c>
      <c r="R756" s="12">
        <v>1.988199076449461</v>
      </c>
      <c r="S756" s="12">
        <v>0.4489481785531041</v>
      </c>
    </row>
    <row r="757" spans="12:19">
      <c r="L757" t="s">
        <v>70</v>
      </c>
      <c r="M757" s="15">
        <v>46006</v>
      </c>
      <c r="N757" t="b">
        <v>1</v>
      </c>
      <c r="O757" s="10">
        <v>15608</v>
      </c>
      <c r="P757" s="10">
        <v>38</v>
      </c>
      <c r="Q757" s="10">
        <v>7</v>
      </c>
      <c r="R757" s="12">
        <v>2.434648898001025</v>
      </c>
      <c r="S757" s="12">
        <v>0.4484879548949256</v>
      </c>
    </row>
    <row r="758" spans="12:19">
      <c r="L758" t="s">
        <v>70</v>
      </c>
      <c r="M758" s="15">
        <v>46013</v>
      </c>
      <c r="N758" t="b">
        <v>1</v>
      </c>
      <c r="O758" s="10">
        <v>15565</v>
      </c>
      <c r="P758" s="10">
        <v>8</v>
      </c>
      <c r="Q758" s="10">
        <v>7</v>
      </c>
      <c r="R758" s="12">
        <v>0.5139736588499839</v>
      </c>
      <c r="S758" s="12">
        <v>0.4497269514937359</v>
      </c>
    </row>
    <row r="759" spans="12:19">
      <c r="L759" t="s">
        <v>70</v>
      </c>
      <c r="M759" s="15">
        <v>46020</v>
      </c>
      <c r="N759" t="b">
        <v>1</v>
      </c>
      <c r="O759" s="10">
        <v>15595</v>
      </c>
      <c r="P759" s="10">
        <v>16</v>
      </c>
      <c r="Q759" s="10">
        <v>9</v>
      </c>
      <c r="R759" s="12">
        <v>1.0259698621353</v>
      </c>
      <c r="S759" s="12">
        <v>0.5771080474511061</v>
      </c>
    </row>
    <row r="760" spans="12:19">
      <c r="L760" t="s">
        <v>70</v>
      </c>
      <c r="M760" s="15">
        <v>46027</v>
      </c>
      <c r="N760" t="b">
        <v>1</v>
      </c>
      <c r="O760" s="10">
        <v>15567</v>
      </c>
      <c r="P760" s="10">
        <v>585</v>
      </c>
      <c r="Q760" s="10">
        <v>35</v>
      </c>
      <c r="R760" s="12">
        <v>37.57949508575833</v>
      </c>
      <c r="S760" s="12">
        <v>2.248345859831695</v>
      </c>
    </row>
    <row r="761" spans="12:19">
      <c r="L761" t="s">
        <v>70</v>
      </c>
      <c r="M761" s="15">
        <v>46034</v>
      </c>
      <c r="N761" t="b">
        <v>1</v>
      </c>
      <c r="O761" s="10">
        <v>15542</v>
      </c>
      <c r="P761" s="10">
        <v>273</v>
      </c>
      <c r="Q761" s="10">
        <v>65</v>
      </c>
      <c r="R761" s="12">
        <v>17.56530691030756</v>
      </c>
      <c r="S761" s="12">
        <v>4.182215931025608</v>
      </c>
    </row>
    <row r="762" spans="12:19">
      <c r="L762" t="s">
        <v>70</v>
      </c>
      <c r="M762" s="15">
        <v>46041</v>
      </c>
      <c r="N762" t="b">
        <v>1</v>
      </c>
      <c r="O762" s="10">
        <v>15676</v>
      </c>
      <c r="P762" s="10">
        <v>129</v>
      </c>
      <c r="Q762" s="10">
        <v>53</v>
      </c>
      <c r="R762" s="12">
        <v>8.229140086756825</v>
      </c>
      <c r="S762" s="12">
        <v>3.380964531768308</v>
      </c>
    </row>
    <row r="763" spans="12:19">
      <c r="L763" t="s">
        <v>70</v>
      </c>
      <c r="M763" s="15">
        <v>46048</v>
      </c>
      <c r="N763" t="b">
        <v>1</v>
      </c>
      <c r="O763" s="10">
        <v>15696</v>
      </c>
      <c r="P763" s="10">
        <v>24</v>
      </c>
      <c r="Q763" s="10">
        <v>1</v>
      </c>
      <c r="R763" s="12">
        <v>1.529051987767584</v>
      </c>
      <c r="S763" s="12">
        <v>0.063710499490316</v>
      </c>
    </row>
    <row r="764" spans="12:19">
      <c r="L764" t="s">
        <v>70</v>
      </c>
      <c r="M764" s="15">
        <v>46055</v>
      </c>
      <c r="N764" t="b">
        <v>1</v>
      </c>
      <c r="O764" s="10">
        <v>15636</v>
      </c>
      <c r="P764" s="10">
        <v>555</v>
      </c>
      <c r="Q764" s="10">
        <v>59</v>
      </c>
      <c r="R764" s="12">
        <v>35.49501151189563</v>
      </c>
      <c r="S764" s="12">
        <v>3.773343566129445</v>
      </c>
    </row>
    <row r="765" spans="12:19">
      <c r="L765" t="s">
        <v>70</v>
      </c>
      <c r="M765" s="15">
        <v>46062</v>
      </c>
      <c r="N765" t="b">
        <v>0</v>
      </c>
      <c r="O765" s="10">
        <v>15425</v>
      </c>
      <c r="P765" s="10">
        <v>155</v>
      </c>
      <c r="Q765" s="10">
        <v>3</v>
      </c>
      <c r="R765" s="12">
        <v>10.04862236628849</v>
      </c>
      <c r="S765" s="12">
        <v>0.1944894651539708</v>
      </c>
    </row>
    <row r="766" spans="12:19">
      <c r="L766" t="s">
        <v>70</v>
      </c>
      <c r="M766" s="15">
        <v>46069</v>
      </c>
      <c r="N766" t="b">
        <v>0</v>
      </c>
      <c r="O766" s="10">
        <v>15493</v>
      </c>
      <c r="P766" s="10">
        <v>457</v>
      </c>
      <c r="Q766" s="10">
        <v>74</v>
      </c>
      <c r="R766" s="12">
        <v>29.49719228038469</v>
      </c>
      <c r="S766" s="12">
        <v>4.776350609952882</v>
      </c>
    </row>
    <row r="767" spans="12:19">
      <c r="L767" t="s">
        <v>70</v>
      </c>
      <c r="M767" s="15">
        <v>46076</v>
      </c>
      <c r="N767" t="b">
        <v>0</v>
      </c>
      <c r="O767" s="10">
        <v>15495</v>
      </c>
      <c r="P767" s="10">
        <v>409</v>
      </c>
      <c r="Q767" s="10">
        <v>43</v>
      </c>
      <c r="R767" s="12">
        <v>26.39561148757664</v>
      </c>
      <c r="S767" s="12">
        <v>2.775088738302678</v>
      </c>
    </row>
    <row r="768" spans="12:19">
      <c r="L768" t="s">
        <v>70</v>
      </c>
      <c r="M768" s="15">
        <v>46083</v>
      </c>
      <c r="N768" t="b">
        <v>0</v>
      </c>
      <c r="O768" s="10">
        <v>15476</v>
      </c>
      <c r="P768" s="10">
        <v>189</v>
      </c>
      <c r="Q768" s="10">
        <v>87</v>
      </c>
      <c r="R768" s="12">
        <v>12.21245799948307</v>
      </c>
      <c r="S768" s="12">
        <v>5.621607650555699</v>
      </c>
    </row>
    <row r="769" spans="12:19">
      <c r="L769" t="s">
        <v>70</v>
      </c>
      <c r="M769" s="15">
        <v>46090</v>
      </c>
      <c r="N769" t="b">
        <v>0</v>
      </c>
      <c r="O769" s="10">
        <v>15487</v>
      </c>
      <c r="P769" s="10">
        <v>71</v>
      </c>
      <c r="Q769" s="10">
        <v>31</v>
      </c>
      <c r="R769" s="12">
        <v>4.58449021760186</v>
      </c>
      <c r="S769" s="12">
        <v>2.001678827403629</v>
      </c>
    </row>
    <row r="770" spans="12:19">
      <c r="L770" t="s">
        <v>70</v>
      </c>
      <c r="M770" s="15">
        <v>46097</v>
      </c>
      <c r="N770" t="b">
        <v>0</v>
      </c>
      <c r="O770" s="10">
        <v>15548</v>
      </c>
      <c r="P770" s="10">
        <v>71</v>
      </c>
      <c r="Q770" s="10">
        <v>9</v>
      </c>
      <c r="R770" s="12">
        <v>4.566503730383329</v>
      </c>
      <c r="S770" s="12">
        <v>0.5788525855415487</v>
      </c>
    </row>
    <row r="771" spans="12:19">
      <c r="L771" t="s">
        <v>70</v>
      </c>
      <c r="M771" s="15">
        <v>46104</v>
      </c>
      <c r="N771" t="b">
        <v>0</v>
      </c>
      <c r="O771" s="10">
        <v>15448</v>
      </c>
      <c r="P771" s="10">
        <v>341</v>
      </c>
      <c r="Q771" s="10">
        <v>90</v>
      </c>
      <c r="R771" s="12">
        <v>22.07405489383739</v>
      </c>
      <c r="S771" s="12">
        <v>5.825996892801657</v>
      </c>
    </row>
    <row r="772" spans="12:19">
      <c r="L772" t="s">
        <v>70</v>
      </c>
      <c r="M772" s="15">
        <v>46111</v>
      </c>
      <c r="N772" t="b">
        <v>0</v>
      </c>
      <c r="O772" s="10">
        <v>15410</v>
      </c>
      <c r="P772" s="10">
        <v>204</v>
      </c>
      <c r="Q772" s="10">
        <v>46</v>
      </c>
      <c r="R772" s="12">
        <v>13.23815704088254</v>
      </c>
      <c r="S772" s="12">
        <v>2.985074626865672</v>
      </c>
    </row>
    <row r="773" spans="12:19">
      <c r="L773" t="s">
        <v>70</v>
      </c>
      <c r="M773" s="15">
        <v>46118</v>
      </c>
      <c r="N773" t="b">
        <v>0</v>
      </c>
      <c r="O773" s="10">
        <v>15415</v>
      </c>
      <c r="P773" s="10">
        <v>98</v>
      </c>
      <c r="Q773" s="10">
        <v>27</v>
      </c>
      <c r="R773" s="12">
        <v>6.35744404800519</v>
      </c>
      <c r="S773" s="12">
        <v>1.75154070710347</v>
      </c>
    </row>
    <row r="774" spans="12:19">
      <c r="L774" t="s">
        <v>70</v>
      </c>
      <c r="M774" s="15">
        <v>46125</v>
      </c>
      <c r="N774" t="b">
        <v>0</v>
      </c>
      <c r="O774" s="10">
        <v>15310</v>
      </c>
      <c r="P774" s="10">
        <v>195</v>
      </c>
      <c r="Q774" s="10">
        <v>28</v>
      </c>
      <c r="R774" s="12">
        <v>12.73677335075114</v>
      </c>
      <c r="S774" s="12">
        <v>1.828870019595036</v>
      </c>
    </row>
    <row r="775" spans="12:19">
      <c r="L775" t="s">
        <v>70</v>
      </c>
      <c r="M775" s="15">
        <v>46132</v>
      </c>
      <c r="N775" t="b">
        <v>0</v>
      </c>
      <c r="O775" s="10">
        <v>15278</v>
      </c>
      <c r="P775" s="10">
        <v>77</v>
      </c>
      <c r="Q775" s="10">
        <v>9</v>
      </c>
      <c r="R775" s="12">
        <v>5.039926691975389</v>
      </c>
      <c r="S775" s="12">
        <v>0.5890823406205</v>
      </c>
    </row>
    <row r="776" spans="12:19">
      <c r="L776" t="s">
        <v>70</v>
      </c>
      <c r="M776" s="15">
        <v>46139</v>
      </c>
      <c r="N776" t="b">
        <v>0</v>
      </c>
      <c r="O776" s="10">
        <v>15257</v>
      </c>
      <c r="P776" s="10">
        <v>111</v>
      </c>
      <c r="Q776" s="10">
        <v>86</v>
      </c>
      <c r="R776" s="12">
        <v>7.275349020121911</v>
      </c>
      <c r="S776" s="12">
        <v>5.636756898472832</v>
      </c>
    </row>
    <row r="777" spans="12:19">
      <c r="L777" t="s">
        <v>70</v>
      </c>
      <c r="M777" s="15">
        <v>46146</v>
      </c>
      <c r="N777" t="b">
        <v>0</v>
      </c>
      <c r="O777" s="10">
        <v>15339</v>
      </c>
      <c r="P777" s="10">
        <v>269</v>
      </c>
      <c r="Q777" s="10">
        <v>75</v>
      </c>
      <c r="R777" s="12">
        <v>17.53699719668818</v>
      </c>
      <c r="S777" s="12">
        <v>4.889497359671426</v>
      </c>
    </row>
    <row r="778" spans="12:19">
      <c r="L778" t="s">
        <v>70</v>
      </c>
      <c r="M778" s="15">
        <v>46153</v>
      </c>
      <c r="N778" t="b">
        <v>0</v>
      </c>
      <c r="O778" s="10">
        <v>15403</v>
      </c>
      <c r="P778" s="10">
        <v>68</v>
      </c>
      <c r="Q778" s="10">
        <v>5</v>
      </c>
      <c r="R778" s="12">
        <v>4.414724404336818</v>
      </c>
      <c r="S778" s="12">
        <v>0.3246120885541778</v>
      </c>
    </row>
    <row r="779" spans="12:19">
      <c r="L779" t="s">
        <v>70</v>
      </c>
      <c r="M779" s="15">
        <v>46160</v>
      </c>
      <c r="N779" t="b">
        <v>0</v>
      </c>
      <c r="O779" s="10">
        <v>15284</v>
      </c>
      <c r="P779" s="10">
        <v>64</v>
      </c>
      <c r="Q779" s="10">
        <v>21</v>
      </c>
      <c r="R779" s="12">
        <v>4.187385501177702</v>
      </c>
      <c r="S779" s="12">
        <v>1.373985867573934</v>
      </c>
    </row>
    <row r="780" spans="12:19">
      <c r="L780" t="s">
        <v>70</v>
      </c>
      <c r="M780" s="15">
        <v>46167</v>
      </c>
      <c r="N780" t="b">
        <v>0</v>
      </c>
      <c r="O780" s="10">
        <v>15332</v>
      </c>
      <c r="P780" s="10">
        <v>58</v>
      </c>
      <c r="Q780" s="10">
        <v>12</v>
      </c>
      <c r="R780" s="12">
        <v>3.782937646751892</v>
      </c>
      <c r="S780" s="12">
        <v>0.7826767545003913</v>
      </c>
    </row>
    <row r="781" spans="12:19">
      <c r="L781" t="s">
        <v>70</v>
      </c>
      <c r="M781" s="15">
        <v>46174</v>
      </c>
      <c r="N781" t="b">
        <v>0</v>
      </c>
      <c r="O781" s="10">
        <v>15489</v>
      </c>
      <c r="P781" s="10">
        <v>36</v>
      </c>
      <c r="Q781" s="10">
        <v>12</v>
      </c>
      <c r="R781" s="12">
        <v>2.324230098779779</v>
      </c>
      <c r="S781" s="12">
        <v>0.7747433662599263</v>
      </c>
    </row>
    <row r="782" spans="12:19">
      <c r="L782" t="s">
        <v>70</v>
      </c>
      <c r="M782" s="15">
        <v>46181</v>
      </c>
      <c r="N782" t="b">
        <v>0</v>
      </c>
      <c r="O782" s="10">
        <v>15390</v>
      </c>
      <c r="P782" s="10">
        <v>335</v>
      </c>
      <c r="Q782" s="10">
        <v>74</v>
      </c>
      <c r="R782" s="12">
        <v>21.76738141650423</v>
      </c>
      <c r="S782" s="12">
        <v>4.808317089018844</v>
      </c>
    </row>
    <row r="783" spans="12:19">
      <c r="L783" t="s">
        <v>70</v>
      </c>
      <c r="M783" s="15">
        <v>46188</v>
      </c>
      <c r="N783" t="b">
        <v>0</v>
      </c>
      <c r="O783" s="10">
        <v>15421</v>
      </c>
      <c r="P783" s="10">
        <v>112</v>
      </c>
      <c r="Q783" s="10">
        <v>25</v>
      </c>
      <c r="R783" s="12">
        <v>7.262823422605538</v>
      </c>
      <c r="S783" s="12">
        <v>1.621165942545879</v>
      </c>
    </row>
    <row r="784" spans="12:19">
      <c r="L784" t="s">
        <v>70</v>
      </c>
      <c r="M784" s="15">
        <v>46195</v>
      </c>
      <c r="N784" t="b">
        <v>0</v>
      </c>
      <c r="O784" s="10">
        <v>15588</v>
      </c>
      <c r="P784" s="10">
        <v>41</v>
      </c>
      <c r="Q784" s="10">
        <v>27</v>
      </c>
      <c r="R784" s="12">
        <v>2.630228380805748</v>
      </c>
      <c r="S784" s="12">
        <v>1.732101616628176</v>
      </c>
    </row>
    <row r="785" spans="12:19">
      <c r="L785" t="s">
        <v>70</v>
      </c>
      <c r="M785" s="15">
        <v>46202</v>
      </c>
      <c r="N785" t="b">
        <v>0</v>
      </c>
      <c r="O785" s="10">
        <v>15554</v>
      </c>
      <c r="P785" s="10">
        <v>68</v>
      </c>
      <c r="Q785" s="10">
        <v>17</v>
      </c>
      <c r="R785" s="12">
        <v>4.371865758004372</v>
      </c>
      <c r="S785" s="12">
        <v>1.092966439501093</v>
      </c>
    </row>
    <row r="786" spans="12:19">
      <c r="L786" t="s">
        <v>70</v>
      </c>
      <c r="M786" s="15">
        <v>46209</v>
      </c>
      <c r="N786" t="b">
        <v>0</v>
      </c>
      <c r="O786" s="10">
        <v>15579</v>
      </c>
      <c r="P786" s="10">
        <v>45</v>
      </c>
      <c r="Q786" s="10">
        <v>68</v>
      </c>
      <c r="R786" s="12">
        <v>2.888503755054882</v>
      </c>
      <c r="S786" s="12">
        <v>4.364850118749599</v>
      </c>
    </row>
    <row r="787" spans="12:19">
      <c r="L787" t="s">
        <v>70</v>
      </c>
      <c r="M787" s="15">
        <v>46216</v>
      </c>
      <c r="N787" t="b">
        <v>0</v>
      </c>
      <c r="O787" s="10">
        <v>15565</v>
      </c>
      <c r="P787" s="10">
        <v>151</v>
      </c>
      <c r="Q787" s="10">
        <v>61</v>
      </c>
      <c r="R787" s="12">
        <v>9.701252810793449</v>
      </c>
      <c r="S787" s="12">
        <v>3.919049148731128</v>
      </c>
    </row>
    <row r="788" spans="12:19">
      <c r="L788" t="s">
        <v>70</v>
      </c>
      <c r="M788" s="15">
        <v>46223</v>
      </c>
      <c r="N788" t="b">
        <v>0</v>
      </c>
      <c r="O788" s="10">
        <v>15380</v>
      </c>
      <c r="P788" s="10">
        <v>106</v>
      </c>
      <c r="Q788" s="10">
        <v>21</v>
      </c>
      <c r="R788" s="12">
        <v>6.892067620286086</v>
      </c>
      <c r="S788" s="12">
        <v>1.365409622886866</v>
      </c>
    </row>
    <row r="789" spans="12:19">
      <c r="L789" t="s">
        <v>70</v>
      </c>
      <c r="M789" s="15">
        <v>46230</v>
      </c>
      <c r="N789" t="b">
        <v>0</v>
      </c>
      <c r="O789" s="10">
        <v>15570</v>
      </c>
      <c r="P789" s="10">
        <v>37</v>
      </c>
      <c r="Q789" s="10">
        <v>20</v>
      </c>
      <c r="R789" s="12">
        <v>2.376364804110469</v>
      </c>
      <c r="S789" s="12">
        <v>1.284521515735389</v>
      </c>
    </row>
    <row r="790" spans="12:19">
      <c r="L790" t="s">
        <v>70</v>
      </c>
      <c r="M790" s="15">
        <v>46237</v>
      </c>
      <c r="N790" t="b">
        <v>0</v>
      </c>
      <c r="O790" s="10">
        <v>15387</v>
      </c>
      <c r="P790" s="10">
        <v>55</v>
      </c>
      <c r="Q790" s="10">
        <v>15</v>
      </c>
      <c r="R790" s="12">
        <v>3.574445960876064</v>
      </c>
      <c r="S790" s="12">
        <v>0.9748488984207448</v>
      </c>
    </row>
    <row r="791" spans="12:19">
      <c r="L791" t="s">
        <v>70</v>
      </c>
      <c r="M791" s="15">
        <v>46244</v>
      </c>
      <c r="N791" t="b">
        <v>0</v>
      </c>
      <c r="O791" s="10">
        <v>15344</v>
      </c>
      <c r="P791" s="10">
        <v>106</v>
      </c>
      <c r="Q791" s="10">
        <v>68</v>
      </c>
      <c r="R791" s="12">
        <v>6.908237747653806</v>
      </c>
      <c r="S791" s="12">
        <v>4.43169968717414</v>
      </c>
    </row>
    <row r="792" spans="12:19">
      <c r="L792" t="s">
        <v>70</v>
      </c>
      <c r="M792" s="15">
        <v>46251</v>
      </c>
      <c r="N792" t="b">
        <v>0</v>
      </c>
      <c r="O792" s="10">
        <v>15311</v>
      </c>
      <c r="P792" s="10">
        <v>62</v>
      </c>
      <c r="Q792" s="10">
        <v>11</v>
      </c>
      <c r="R792" s="12">
        <v>4.049376265430083</v>
      </c>
      <c r="S792" s="12">
        <v>0.7184377245117889</v>
      </c>
    </row>
    <row r="793" spans="12:19">
      <c r="L793" t="s">
        <v>70</v>
      </c>
      <c r="M793" s="15">
        <v>46258</v>
      </c>
      <c r="N793" t="b">
        <v>0</v>
      </c>
      <c r="O793" s="10">
        <v>15310</v>
      </c>
      <c r="P793" s="10">
        <v>81</v>
      </c>
      <c r="Q793" s="10">
        <v>39</v>
      </c>
      <c r="R793" s="12">
        <v>5.290659699542783</v>
      </c>
      <c r="S793" s="12">
        <v>2.547354670150229</v>
      </c>
    </row>
    <row r="794" spans="12:19">
      <c r="L794" t="s">
        <v>70</v>
      </c>
      <c r="M794" s="15">
        <v>46265</v>
      </c>
      <c r="N794" t="b">
        <v>0</v>
      </c>
      <c r="O794" s="10">
        <v>15260</v>
      </c>
      <c r="P794" s="10">
        <v>44</v>
      </c>
      <c r="Q794" s="10">
        <v>37</v>
      </c>
      <c r="R794" s="12">
        <v>2.883355176933159</v>
      </c>
      <c r="S794" s="12">
        <v>2.424639580602884</v>
      </c>
    </row>
    <row r="795" spans="12:19">
      <c r="L795" t="s">
        <v>70</v>
      </c>
      <c r="M795" s="15">
        <v>46272</v>
      </c>
      <c r="N795" t="b">
        <v>0</v>
      </c>
      <c r="O795" s="10">
        <v>15176</v>
      </c>
      <c r="P795" s="10">
        <v>59</v>
      </c>
      <c r="Q795" s="10">
        <v>13</v>
      </c>
      <c r="R795" s="12">
        <v>3.887717448603058</v>
      </c>
      <c r="S795" s="12">
        <v>0.856615709014233</v>
      </c>
    </row>
    <row r="796" spans="12:19">
      <c r="L796" t="s">
        <v>70</v>
      </c>
      <c r="M796" s="15">
        <v>46279</v>
      </c>
      <c r="N796" t="b">
        <v>0</v>
      </c>
      <c r="O796" s="10">
        <v>15307</v>
      </c>
      <c r="P796" s="10">
        <v>50</v>
      </c>
      <c r="Q796" s="10">
        <v>37</v>
      </c>
      <c r="R796" s="12">
        <v>3.266479388515058</v>
      </c>
      <c r="S796" s="12">
        <v>2.417194747501143</v>
      </c>
    </row>
    <row r="797" spans="12:19">
      <c r="L797" t="s">
        <v>70</v>
      </c>
      <c r="M797" s="15">
        <v>46286</v>
      </c>
      <c r="N797" t="b">
        <v>0</v>
      </c>
      <c r="O797" s="10">
        <v>15494</v>
      </c>
      <c r="P797" s="10">
        <v>77</v>
      </c>
      <c r="Q797" s="10">
        <v>36</v>
      </c>
      <c r="R797" s="12">
        <v>4.969665677036272</v>
      </c>
      <c r="S797" s="12">
        <v>2.32348005679618</v>
      </c>
    </row>
    <row r="798" spans="12:19">
      <c r="L798" t="s">
        <v>70</v>
      </c>
      <c r="M798" s="15">
        <v>46293</v>
      </c>
      <c r="N798" t="b">
        <v>0</v>
      </c>
      <c r="O798" s="10">
        <v>15250</v>
      </c>
      <c r="P798" s="10">
        <v>62</v>
      </c>
      <c r="Q798" s="10">
        <v>23</v>
      </c>
      <c r="R798" s="12">
        <v>4.065573770491803</v>
      </c>
      <c r="S798" s="12">
        <v>1.508196721311475</v>
      </c>
    </row>
    <row r="799" spans="12:19">
      <c r="L799" t="s">
        <v>70</v>
      </c>
      <c r="M799" s="15">
        <v>46300</v>
      </c>
      <c r="N799" t="b">
        <v>0</v>
      </c>
      <c r="O799" s="10">
        <v>15444</v>
      </c>
      <c r="P799" s="10">
        <v>27</v>
      </c>
      <c r="Q799" s="10">
        <v>30</v>
      </c>
      <c r="R799" s="12">
        <v>1.748251748251748</v>
      </c>
      <c r="S799" s="12">
        <v>1.942501942501942</v>
      </c>
    </row>
    <row r="800" spans="12:19">
      <c r="L800" t="s">
        <v>76</v>
      </c>
      <c r="M800" s="15">
        <v>45488</v>
      </c>
      <c r="N800" t="b">
        <v>0</v>
      </c>
      <c r="O800" s="10">
        <v>10743</v>
      </c>
      <c r="P800" s="10">
        <v>346</v>
      </c>
      <c r="Q800" s="10">
        <v>183</v>
      </c>
      <c r="R800" s="12">
        <v>32.20701852368985</v>
      </c>
      <c r="S800" s="12">
        <v>17.0343479475007</v>
      </c>
    </row>
    <row r="801" spans="12:19">
      <c r="L801" t="s">
        <v>76</v>
      </c>
      <c r="M801" s="15">
        <v>45495</v>
      </c>
      <c r="N801" t="b">
        <v>0</v>
      </c>
      <c r="O801" s="10">
        <v>10791</v>
      </c>
      <c r="P801" s="10">
        <v>309</v>
      </c>
      <c r="Q801" s="10">
        <v>54</v>
      </c>
      <c r="R801" s="12">
        <v>28.63497358910203</v>
      </c>
      <c r="S801" s="12">
        <v>5.004170141784821</v>
      </c>
    </row>
    <row r="802" spans="12:19">
      <c r="L802" t="s">
        <v>76</v>
      </c>
      <c r="M802" s="15">
        <v>45502</v>
      </c>
      <c r="N802" t="b">
        <v>0</v>
      </c>
      <c r="O802" s="10">
        <v>11816</v>
      </c>
      <c r="P802" s="10">
        <v>374</v>
      </c>
      <c r="Q802" s="10">
        <v>228</v>
      </c>
      <c r="R802" s="12">
        <v>31.65199729180772</v>
      </c>
      <c r="S802" s="12">
        <v>19.29587000677048</v>
      </c>
    </row>
    <row r="803" spans="12:19">
      <c r="L803" t="s">
        <v>76</v>
      </c>
      <c r="M803" s="15">
        <v>45509</v>
      </c>
      <c r="N803" t="b">
        <v>0</v>
      </c>
      <c r="O803" s="10">
        <v>11085</v>
      </c>
      <c r="P803" s="10">
        <v>127</v>
      </c>
      <c r="Q803" s="10">
        <v>108</v>
      </c>
      <c r="R803" s="12">
        <v>11.45692377086152</v>
      </c>
      <c r="S803" s="12">
        <v>9.742895805142084</v>
      </c>
    </row>
    <row r="804" spans="12:19">
      <c r="L804" t="s">
        <v>76</v>
      </c>
      <c r="M804" s="15">
        <v>45516</v>
      </c>
      <c r="N804" t="b">
        <v>0</v>
      </c>
      <c r="O804" s="10">
        <v>11863</v>
      </c>
      <c r="P804" s="10">
        <v>89</v>
      </c>
      <c r="Q804" s="10">
        <v>181</v>
      </c>
      <c r="R804" s="12">
        <v>7.502318132007081</v>
      </c>
      <c r="S804" s="12">
        <v>15.25752339205934</v>
      </c>
    </row>
    <row r="805" spans="12:19">
      <c r="L805" t="s">
        <v>76</v>
      </c>
      <c r="M805" s="15">
        <v>45523</v>
      </c>
      <c r="N805" t="b">
        <v>0</v>
      </c>
      <c r="O805" s="10">
        <v>11918</v>
      </c>
      <c r="P805" s="10">
        <v>152</v>
      </c>
      <c r="Q805" s="10">
        <v>104</v>
      </c>
      <c r="R805" s="12">
        <v>12.75381775465682</v>
      </c>
      <c r="S805" s="12">
        <v>8.726296358449405</v>
      </c>
    </row>
    <row r="806" spans="12:19">
      <c r="L806" t="s">
        <v>76</v>
      </c>
      <c r="M806" s="15">
        <v>45530</v>
      </c>
      <c r="N806" t="b">
        <v>0</v>
      </c>
      <c r="O806" s="10">
        <v>13159</v>
      </c>
      <c r="P806" s="10">
        <v>212</v>
      </c>
      <c r="Q806" s="10">
        <v>226</v>
      </c>
      <c r="R806" s="12">
        <v>16.11064670567672</v>
      </c>
      <c r="S806" s="12">
        <v>17.17455733718367</v>
      </c>
    </row>
    <row r="807" spans="12:19">
      <c r="L807" t="s">
        <v>76</v>
      </c>
      <c r="M807" s="15">
        <v>45537</v>
      </c>
      <c r="N807" t="b">
        <v>0</v>
      </c>
      <c r="O807" s="10">
        <v>13126</v>
      </c>
      <c r="P807" s="10">
        <v>114</v>
      </c>
      <c r="Q807" s="10">
        <v>77</v>
      </c>
      <c r="R807" s="12">
        <v>8.685052567423435</v>
      </c>
      <c r="S807" s="12">
        <v>5.866219716593021</v>
      </c>
    </row>
    <row r="808" spans="12:19">
      <c r="L808" t="s">
        <v>76</v>
      </c>
      <c r="M808" s="15">
        <v>45544</v>
      </c>
      <c r="N808" t="b">
        <v>0</v>
      </c>
      <c r="O808" s="10">
        <v>12904</v>
      </c>
      <c r="P808" s="10">
        <v>318</v>
      </c>
      <c r="Q808" s="10">
        <v>158</v>
      </c>
      <c r="R808" s="12">
        <v>24.64352138871668</v>
      </c>
      <c r="S808" s="12">
        <v>12.24426534407936</v>
      </c>
    </row>
    <row r="809" spans="12:19">
      <c r="L809" t="s">
        <v>76</v>
      </c>
      <c r="M809" s="15">
        <v>45551</v>
      </c>
      <c r="N809" t="b">
        <v>0</v>
      </c>
      <c r="O809" s="10">
        <v>13084</v>
      </c>
      <c r="P809" s="10">
        <v>191</v>
      </c>
      <c r="Q809" s="10">
        <v>287</v>
      </c>
      <c r="R809" s="12">
        <v>14.59798226841944</v>
      </c>
      <c r="S809" s="12">
        <v>21.93518801589728</v>
      </c>
    </row>
    <row r="810" spans="12:19">
      <c r="L810" t="s">
        <v>76</v>
      </c>
      <c r="M810" s="15">
        <v>45558</v>
      </c>
      <c r="N810" t="b">
        <v>0</v>
      </c>
      <c r="O810" s="10">
        <v>11671</v>
      </c>
      <c r="P810" s="10">
        <v>86</v>
      </c>
      <c r="Q810" s="10">
        <v>92</v>
      </c>
      <c r="R810" s="12">
        <v>7.36869162882358</v>
      </c>
      <c r="S810" s="12">
        <v>7.882786393625225</v>
      </c>
    </row>
    <row r="811" spans="12:19">
      <c r="L811" t="s">
        <v>76</v>
      </c>
      <c r="M811" s="15">
        <v>45565</v>
      </c>
      <c r="N811" t="b">
        <v>0</v>
      </c>
      <c r="O811" s="10">
        <v>10104</v>
      </c>
      <c r="P811" s="10">
        <v>149</v>
      </c>
      <c r="Q811" s="10">
        <v>130</v>
      </c>
      <c r="R811" s="12">
        <v>14.74663499604117</v>
      </c>
      <c r="S811" s="12">
        <v>12.86619160728424</v>
      </c>
    </row>
    <row r="812" spans="12:19">
      <c r="L812" t="s">
        <v>76</v>
      </c>
      <c r="M812" s="15">
        <v>45572</v>
      </c>
      <c r="N812" t="b">
        <v>0</v>
      </c>
      <c r="O812" s="10">
        <v>7353</v>
      </c>
      <c r="P812" s="10">
        <v>86</v>
      </c>
      <c r="Q812" s="10">
        <v>59</v>
      </c>
      <c r="R812" s="12">
        <v>11.69590643274854</v>
      </c>
      <c r="S812" s="12">
        <v>8.023935808513531</v>
      </c>
    </row>
    <row r="813" spans="12:19">
      <c r="L813" t="s">
        <v>76</v>
      </c>
      <c r="M813" s="15">
        <v>45579</v>
      </c>
      <c r="N813" t="b">
        <v>0</v>
      </c>
      <c r="O813" s="10">
        <v>7665</v>
      </c>
      <c r="P813" s="10">
        <v>63</v>
      </c>
      <c r="Q813" s="10">
        <v>75</v>
      </c>
      <c r="R813" s="12">
        <v>8.219178082191782</v>
      </c>
      <c r="S813" s="12">
        <v>9.784735812133071</v>
      </c>
    </row>
    <row r="814" spans="12:19">
      <c r="L814" t="s">
        <v>76</v>
      </c>
      <c r="M814" s="15">
        <v>45586</v>
      </c>
      <c r="N814" t="b">
        <v>0</v>
      </c>
      <c r="O814" s="10">
        <v>7808</v>
      </c>
      <c r="P814" s="10">
        <v>115</v>
      </c>
      <c r="Q814" s="10">
        <v>68</v>
      </c>
      <c r="R814" s="12">
        <v>14.72848360655738</v>
      </c>
      <c r="S814" s="12">
        <v>8.709016393442623</v>
      </c>
    </row>
    <row r="815" spans="12:19">
      <c r="L815" t="s">
        <v>76</v>
      </c>
      <c r="M815" s="15">
        <v>45593</v>
      </c>
      <c r="N815" t="b">
        <v>0</v>
      </c>
      <c r="O815" s="10">
        <v>7889</v>
      </c>
      <c r="P815" s="10">
        <v>129</v>
      </c>
      <c r="Q815" s="10">
        <v>83</v>
      </c>
      <c r="R815" s="12">
        <v>16.35188236785397</v>
      </c>
      <c r="S815" s="12">
        <v>10.52097857776651</v>
      </c>
    </row>
    <row r="816" spans="12:19">
      <c r="L816" t="s">
        <v>76</v>
      </c>
      <c r="M816" s="15">
        <v>45600</v>
      </c>
      <c r="N816" t="b">
        <v>1</v>
      </c>
      <c r="O816" s="10">
        <v>7949</v>
      </c>
      <c r="P816" s="10">
        <v>113</v>
      </c>
      <c r="Q816" s="10">
        <v>61</v>
      </c>
      <c r="R816" s="12">
        <v>14.21562460686879</v>
      </c>
      <c r="S816" s="12">
        <v>7.673921247955717</v>
      </c>
    </row>
    <row r="817" spans="12:19">
      <c r="L817" t="s">
        <v>76</v>
      </c>
      <c r="M817" s="15">
        <v>45607</v>
      </c>
      <c r="N817" t="b">
        <v>1</v>
      </c>
      <c r="O817" s="10">
        <v>8002</v>
      </c>
      <c r="P817" s="10">
        <v>104</v>
      </c>
      <c r="Q817" s="10">
        <v>120</v>
      </c>
      <c r="R817" s="12">
        <v>12.99675081229692</v>
      </c>
      <c r="S817" s="12">
        <v>14.99625093726568</v>
      </c>
    </row>
    <row r="818" spans="12:19">
      <c r="L818" t="s">
        <v>76</v>
      </c>
      <c r="M818" s="15">
        <v>45614</v>
      </c>
      <c r="N818" t="b">
        <v>1</v>
      </c>
      <c r="O818" s="10">
        <v>8449</v>
      </c>
      <c r="P818" s="10">
        <v>86</v>
      </c>
      <c r="Q818" s="10">
        <v>94</v>
      </c>
      <c r="R818" s="12">
        <v>10.17871937507397</v>
      </c>
      <c r="S818" s="12">
        <v>11.12557699135992</v>
      </c>
    </row>
    <row r="819" spans="12:19">
      <c r="L819" t="s">
        <v>76</v>
      </c>
      <c r="M819" s="15">
        <v>45621</v>
      </c>
      <c r="N819" t="b">
        <v>1</v>
      </c>
      <c r="O819" s="10">
        <v>8677</v>
      </c>
      <c r="P819" s="10">
        <v>62</v>
      </c>
      <c r="Q819" s="10">
        <v>67</v>
      </c>
      <c r="R819" s="12">
        <v>7.145326725826899</v>
      </c>
      <c r="S819" s="12">
        <v>7.721562752103262</v>
      </c>
    </row>
    <row r="820" spans="12:19">
      <c r="L820" t="s">
        <v>76</v>
      </c>
      <c r="M820" s="15">
        <v>45628</v>
      </c>
      <c r="N820" t="b">
        <v>1</v>
      </c>
      <c r="O820" s="10">
        <v>9177</v>
      </c>
      <c r="P820" s="10">
        <v>329</v>
      </c>
      <c r="Q820" s="10">
        <v>218</v>
      </c>
      <c r="R820" s="12">
        <v>35.85049580472921</v>
      </c>
      <c r="S820" s="12">
        <v>23.75503977334641</v>
      </c>
    </row>
    <row r="821" spans="12:19">
      <c r="L821" t="s">
        <v>76</v>
      </c>
      <c r="M821" s="15">
        <v>45635</v>
      </c>
      <c r="N821" t="b">
        <v>1</v>
      </c>
      <c r="O821" s="10">
        <v>8522</v>
      </c>
      <c r="P821" s="10">
        <v>82</v>
      </c>
      <c r="Q821" s="10">
        <v>62</v>
      </c>
      <c r="R821" s="12">
        <v>9.622154423844169</v>
      </c>
      <c r="S821" s="12">
        <v>7.275287491199249</v>
      </c>
    </row>
    <row r="822" spans="12:19">
      <c r="L822" t="s">
        <v>76</v>
      </c>
      <c r="M822" s="15">
        <v>45642</v>
      </c>
      <c r="N822" t="b">
        <v>1</v>
      </c>
      <c r="O822" s="10">
        <v>8932</v>
      </c>
      <c r="P822" s="10">
        <v>66</v>
      </c>
      <c r="Q822" s="10">
        <v>65</v>
      </c>
      <c r="R822" s="12">
        <v>7.389162561576355</v>
      </c>
      <c r="S822" s="12">
        <v>7.277205553067622</v>
      </c>
    </row>
    <row r="823" spans="12:19">
      <c r="L823" t="s">
        <v>76</v>
      </c>
      <c r="M823" s="15">
        <v>45649</v>
      </c>
      <c r="N823" t="b">
        <v>1</v>
      </c>
      <c r="O823" s="10">
        <v>9010</v>
      </c>
      <c r="P823" s="10">
        <v>142</v>
      </c>
      <c r="Q823" s="10">
        <v>59</v>
      </c>
      <c r="R823" s="12">
        <v>15.76026637069922</v>
      </c>
      <c r="S823" s="12">
        <v>6.548279689234184</v>
      </c>
    </row>
    <row r="824" spans="12:19">
      <c r="L824" t="s">
        <v>76</v>
      </c>
      <c r="M824" s="15">
        <v>45656</v>
      </c>
      <c r="N824" t="b">
        <v>1</v>
      </c>
      <c r="O824" s="10">
        <v>8748</v>
      </c>
      <c r="P824" s="10">
        <v>120</v>
      </c>
      <c r="Q824" s="10">
        <v>66</v>
      </c>
      <c r="R824" s="12">
        <v>13.71742112482853</v>
      </c>
      <c r="S824" s="12">
        <v>7.544581618655693</v>
      </c>
    </row>
    <row r="825" spans="12:19">
      <c r="L825" t="s">
        <v>76</v>
      </c>
      <c r="M825" s="15">
        <v>45663</v>
      </c>
      <c r="N825" t="b">
        <v>1</v>
      </c>
      <c r="O825" s="10">
        <v>9310</v>
      </c>
      <c r="P825" s="10">
        <v>82</v>
      </c>
      <c r="Q825" s="10">
        <v>42</v>
      </c>
      <c r="R825" s="12">
        <v>8.807733619763695</v>
      </c>
      <c r="S825" s="12">
        <v>4.511278195488722</v>
      </c>
    </row>
    <row r="826" spans="12:19">
      <c r="L826" t="s">
        <v>76</v>
      </c>
      <c r="M826" s="15">
        <v>45670</v>
      </c>
      <c r="N826" t="b">
        <v>1</v>
      </c>
      <c r="O826" s="10">
        <v>9573</v>
      </c>
      <c r="P826" s="10">
        <v>75</v>
      </c>
      <c r="Q826" s="10">
        <v>30</v>
      </c>
      <c r="R826" s="12">
        <v>7.834534628643058</v>
      </c>
      <c r="S826" s="12">
        <v>3.133813851457224</v>
      </c>
    </row>
    <row r="827" spans="12:19">
      <c r="L827" t="s">
        <v>76</v>
      </c>
      <c r="M827" s="15">
        <v>45677</v>
      </c>
      <c r="N827" t="b">
        <v>1</v>
      </c>
      <c r="O827" s="10">
        <v>8306</v>
      </c>
      <c r="P827" s="10">
        <v>202</v>
      </c>
      <c r="Q827" s="10">
        <v>44</v>
      </c>
      <c r="R827" s="12">
        <v>24.31976884180111</v>
      </c>
      <c r="S827" s="12">
        <v>5.29737539128341</v>
      </c>
    </row>
    <row r="828" spans="12:19">
      <c r="L828" t="s">
        <v>76</v>
      </c>
      <c r="M828" s="15">
        <v>45684</v>
      </c>
      <c r="N828" t="b">
        <v>1</v>
      </c>
      <c r="O828" s="10">
        <v>7130</v>
      </c>
      <c r="P828" s="10">
        <v>359</v>
      </c>
      <c r="Q828" s="10">
        <v>113</v>
      </c>
      <c r="R828" s="12">
        <v>50.35063113604488</v>
      </c>
      <c r="S828" s="12">
        <v>15.84852734922861</v>
      </c>
    </row>
    <row r="829" spans="12:19">
      <c r="L829" t="s">
        <v>76</v>
      </c>
      <c r="M829" s="15">
        <v>45691</v>
      </c>
      <c r="N829" t="b">
        <v>0</v>
      </c>
      <c r="O829" s="10">
        <v>6905</v>
      </c>
      <c r="P829" s="10">
        <v>237</v>
      </c>
      <c r="Q829" s="10">
        <v>80</v>
      </c>
      <c r="R829" s="12">
        <v>34.32295438088342</v>
      </c>
      <c r="S829" s="12">
        <v>11.58580738595221</v>
      </c>
    </row>
    <row r="830" spans="12:19">
      <c r="L830" t="s">
        <v>76</v>
      </c>
      <c r="M830" s="15">
        <v>45698</v>
      </c>
      <c r="N830" t="b">
        <v>0</v>
      </c>
      <c r="O830" s="10">
        <v>7460</v>
      </c>
      <c r="P830" s="10">
        <v>192</v>
      </c>
      <c r="Q830" s="10">
        <v>72</v>
      </c>
      <c r="R830" s="12">
        <v>25.7372654155496</v>
      </c>
      <c r="S830" s="12">
        <v>9.6514745308311</v>
      </c>
    </row>
    <row r="831" spans="12:19">
      <c r="L831" t="s">
        <v>76</v>
      </c>
      <c r="M831" s="15">
        <v>45705</v>
      </c>
      <c r="N831" t="b">
        <v>0</v>
      </c>
      <c r="O831" s="10">
        <v>7247</v>
      </c>
      <c r="P831" s="10">
        <v>159</v>
      </c>
      <c r="Q831" s="10">
        <v>75</v>
      </c>
      <c r="R831" s="12">
        <v>21.94011315026908</v>
      </c>
      <c r="S831" s="12">
        <v>10.34910997654202</v>
      </c>
    </row>
    <row r="832" spans="12:19">
      <c r="L832" t="s">
        <v>76</v>
      </c>
      <c r="M832" s="15">
        <v>45712</v>
      </c>
      <c r="N832" t="b">
        <v>0</v>
      </c>
      <c r="O832" s="10">
        <v>7227</v>
      </c>
      <c r="P832" s="10">
        <v>175</v>
      </c>
      <c r="Q832" s="10">
        <v>116</v>
      </c>
      <c r="R832" s="12">
        <v>24.2147502421475</v>
      </c>
      <c r="S832" s="12">
        <v>16.0509201605092</v>
      </c>
    </row>
    <row r="833" spans="12:19">
      <c r="L833" t="s">
        <v>76</v>
      </c>
      <c r="M833" s="15">
        <v>45719</v>
      </c>
      <c r="N833" t="b">
        <v>0</v>
      </c>
      <c r="O833" s="10">
        <v>7244</v>
      </c>
      <c r="P833" s="10">
        <v>172</v>
      </c>
      <c r="Q833" s="10">
        <v>132</v>
      </c>
      <c r="R833" s="12">
        <v>23.74378796245168</v>
      </c>
      <c r="S833" s="12">
        <v>18.22197680839315</v>
      </c>
    </row>
    <row r="834" spans="12:19">
      <c r="L834" t="s">
        <v>76</v>
      </c>
      <c r="M834" s="15">
        <v>45726</v>
      </c>
      <c r="N834" t="b">
        <v>0</v>
      </c>
      <c r="O834" s="10">
        <v>8298</v>
      </c>
      <c r="P834" s="10">
        <v>152</v>
      </c>
      <c r="Q834" s="10">
        <v>254</v>
      </c>
      <c r="R834" s="12">
        <v>18.3176669076886</v>
      </c>
      <c r="S834" s="12">
        <v>30.60978549047963</v>
      </c>
    </row>
    <row r="835" spans="12:19">
      <c r="L835" t="s">
        <v>76</v>
      </c>
      <c r="M835" s="15">
        <v>45733</v>
      </c>
      <c r="N835" t="b">
        <v>0</v>
      </c>
      <c r="O835" s="10">
        <v>8421</v>
      </c>
      <c r="P835" s="10">
        <v>179</v>
      </c>
      <c r="Q835" s="10">
        <v>312</v>
      </c>
      <c r="R835" s="12">
        <v>21.25638285239283</v>
      </c>
      <c r="S835" s="12">
        <v>37.05023156394727</v>
      </c>
    </row>
    <row r="836" spans="12:19">
      <c r="L836" t="s">
        <v>76</v>
      </c>
      <c r="M836" s="15">
        <v>45740</v>
      </c>
      <c r="N836" t="b">
        <v>0</v>
      </c>
      <c r="O836" s="10">
        <v>8741</v>
      </c>
      <c r="P836" s="10">
        <v>118</v>
      </c>
      <c r="Q836" s="10">
        <v>143</v>
      </c>
      <c r="R836" s="12">
        <v>13.49959958814781</v>
      </c>
      <c r="S836" s="12">
        <v>16.3596842466537</v>
      </c>
    </row>
    <row r="837" spans="12:19">
      <c r="L837" t="s">
        <v>76</v>
      </c>
      <c r="M837" s="15">
        <v>45747</v>
      </c>
      <c r="N837" t="b">
        <v>0</v>
      </c>
      <c r="O837" s="10">
        <v>8195</v>
      </c>
      <c r="P837" s="10">
        <v>116</v>
      </c>
      <c r="Q837" s="10">
        <v>106</v>
      </c>
      <c r="R837" s="12">
        <v>14.15497254423429</v>
      </c>
      <c r="S837" s="12">
        <v>12.93471629042099</v>
      </c>
    </row>
    <row r="838" spans="12:19">
      <c r="L838" t="s">
        <v>76</v>
      </c>
      <c r="M838" s="15">
        <v>45754</v>
      </c>
      <c r="N838" t="b">
        <v>0</v>
      </c>
      <c r="O838" s="10">
        <v>8186</v>
      </c>
      <c r="P838" s="10">
        <v>105</v>
      </c>
      <c r="Q838" s="10">
        <v>107</v>
      </c>
      <c r="R838" s="12">
        <v>12.82677742487173</v>
      </c>
      <c r="S838" s="12">
        <v>13.07109699486929</v>
      </c>
    </row>
    <row r="839" spans="12:19">
      <c r="L839" t="s">
        <v>76</v>
      </c>
      <c r="M839" s="15">
        <v>45761</v>
      </c>
      <c r="N839" t="b">
        <v>0</v>
      </c>
      <c r="O839" s="10">
        <v>7592</v>
      </c>
      <c r="P839" s="10">
        <v>86</v>
      </c>
      <c r="Q839" s="10">
        <v>84</v>
      </c>
      <c r="R839" s="12">
        <v>11.3277133825079</v>
      </c>
      <c r="S839" s="12">
        <v>11.06427818756586</v>
      </c>
    </row>
    <row r="840" spans="12:19">
      <c r="L840" t="s">
        <v>76</v>
      </c>
      <c r="M840" s="15">
        <v>45768</v>
      </c>
      <c r="N840" t="b">
        <v>0</v>
      </c>
      <c r="O840" s="10">
        <v>7586</v>
      </c>
      <c r="P840" s="10">
        <v>85</v>
      </c>
      <c r="Q840" s="10">
        <v>86</v>
      </c>
      <c r="R840" s="12">
        <v>11.20485104139204</v>
      </c>
      <c r="S840" s="12">
        <v>11.33667281834959</v>
      </c>
    </row>
    <row r="841" spans="12:19">
      <c r="L841" t="s">
        <v>76</v>
      </c>
      <c r="M841" s="15">
        <v>45775</v>
      </c>
      <c r="N841" t="b">
        <v>0</v>
      </c>
      <c r="O841" s="10">
        <v>7468</v>
      </c>
      <c r="P841" s="10">
        <v>156</v>
      </c>
      <c r="Q841" s="10">
        <v>116</v>
      </c>
      <c r="R841" s="12">
        <v>20.88912694161757</v>
      </c>
      <c r="S841" s="12">
        <v>15.53294054633101</v>
      </c>
    </row>
    <row r="842" spans="12:19">
      <c r="L842" t="s">
        <v>76</v>
      </c>
      <c r="M842" s="15">
        <v>45782</v>
      </c>
      <c r="N842" t="b">
        <v>0</v>
      </c>
      <c r="O842" s="10">
        <v>7610</v>
      </c>
      <c r="P842" s="10">
        <v>91</v>
      </c>
      <c r="Q842" s="10">
        <v>122</v>
      </c>
      <c r="R842" s="12">
        <v>11.95795006570302</v>
      </c>
      <c r="S842" s="12">
        <v>16.03153745072273</v>
      </c>
    </row>
    <row r="843" spans="12:19">
      <c r="L843" t="s">
        <v>76</v>
      </c>
      <c r="M843" s="15">
        <v>45789</v>
      </c>
      <c r="N843" t="b">
        <v>0</v>
      </c>
      <c r="O843" s="10">
        <v>7602</v>
      </c>
      <c r="P843" s="10">
        <v>163</v>
      </c>
      <c r="Q843" s="10">
        <v>72</v>
      </c>
      <c r="R843" s="12">
        <v>21.44172586161536</v>
      </c>
      <c r="S843" s="12">
        <v>9.47119179163378</v>
      </c>
    </row>
    <row r="844" spans="12:19">
      <c r="L844" t="s">
        <v>76</v>
      </c>
      <c r="M844" s="15">
        <v>45796</v>
      </c>
      <c r="N844" t="b">
        <v>0</v>
      </c>
      <c r="O844" s="10">
        <v>7883</v>
      </c>
      <c r="P844" s="10">
        <v>110</v>
      </c>
      <c r="Q844" s="10">
        <v>87</v>
      </c>
      <c r="R844" s="12">
        <v>13.95407839654954</v>
      </c>
      <c r="S844" s="12">
        <v>11.03640745908918</v>
      </c>
    </row>
    <row r="845" spans="12:19">
      <c r="L845" t="s">
        <v>76</v>
      </c>
      <c r="M845" s="15">
        <v>45803</v>
      </c>
      <c r="N845" t="b">
        <v>0</v>
      </c>
      <c r="O845" s="10">
        <v>7981</v>
      </c>
      <c r="P845" s="10">
        <v>540</v>
      </c>
      <c r="Q845" s="10">
        <v>82</v>
      </c>
      <c r="R845" s="12">
        <v>67.66069414860293</v>
      </c>
      <c r="S845" s="12">
        <v>10.27440170404711</v>
      </c>
    </row>
    <row r="846" spans="12:19">
      <c r="L846" t="s">
        <v>76</v>
      </c>
      <c r="M846" s="15">
        <v>45810</v>
      </c>
      <c r="N846" t="b">
        <v>0</v>
      </c>
      <c r="O846" s="10">
        <v>7974</v>
      </c>
      <c r="P846" s="10">
        <v>214</v>
      </c>
      <c r="Q846" s="10">
        <v>169</v>
      </c>
      <c r="R846" s="12">
        <v>26.83722096814648</v>
      </c>
      <c r="S846" s="12">
        <v>21.19388011035866</v>
      </c>
    </row>
    <row r="847" spans="12:19">
      <c r="L847" t="s">
        <v>76</v>
      </c>
      <c r="M847" s="15">
        <v>45817</v>
      </c>
      <c r="N847" t="b">
        <v>0</v>
      </c>
      <c r="O847" s="10">
        <v>7839</v>
      </c>
      <c r="P847" s="10">
        <v>112</v>
      </c>
      <c r="Q847" s="10">
        <v>78</v>
      </c>
      <c r="R847" s="12">
        <v>14.28753667559638</v>
      </c>
      <c r="S847" s="12">
        <v>9.950248756218905</v>
      </c>
    </row>
    <row r="848" spans="12:19">
      <c r="L848" t="s">
        <v>76</v>
      </c>
      <c r="M848" s="15">
        <v>45824</v>
      </c>
      <c r="N848" t="b">
        <v>0</v>
      </c>
      <c r="O848" s="10">
        <v>7904</v>
      </c>
      <c r="P848" s="10">
        <v>325</v>
      </c>
      <c r="Q848" s="10">
        <v>103</v>
      </c>
      <c r="R848" s="12">
        <v>41.11842105263158</v>
      </c>
      <c r="S848" s="12">
        <v>13.03137651821862</v>
      </c>
    </row>
    <row r="849" spans="12:19">
      <c r="L849" t="s">
        <v>76</v>
      </c>
      <c r="M849" s="15">
        <v>45831</v>
      </c>
      <c r="N849" t="b">
        <v>0</v>
      </c>
      <c r="O849" s="10">
        <v>8081</v>
      </c>
      <c r="P849" s="10">
        <v>228</v>
      </c>
      <c r="Q849" s="10">
        <v>57</v>
      </c>
      <c r="R849" s="12">
        <v>28.21432990966465</v>
      </c>
      <c r="S849" s="12">
        <v>7.053582477416161</v>
      </c>
    </row>
    <row r="850" spans="12:19">
      <c r="L850" t="s">
        <v>76</v>
      </c>
      <c r="M850" s="15">
        <v>45838</v>
      </c>
      <c r="N850" t="b">
        <v>0</v>
      </c>
      <c r="O850" s="10">
        <v>8300</v>
      </c>
      <c r="P850" s="10">
        <v>251</v>
      </c>
      <c r="Q850" s="10">
        <v>79</v>
      </c>
      <c r="R850" s="12">
        <v>30.24096385542169</v>
      </c>
      <c r="S850" s="12">
        <v>9.518072289156626</v>
      </c>
    </row>
    <row r="851" spans="12:19">
      <c r="L851" t="s">
        <v>76</v>
      </c>
      <c r="M851" s="15">
        <v>45845</v>
      </c>
      <c r="N851" t="b">
        <v>0</v>
      </c>
      <c r="O851" s="10">
        <v>8287</v>
      </c>
      <c r="P851" s="10">
        <v>219</v>
      </c>
      <c r="Q851" s="10">
        <v>102</v>
      </c>
      <c r="R851" s="12">
        <v>26.42693375165922</v>
      </c>
      <c r="S851" s="12">
        <v>12.30843489803306</v>
      </c>
    </row>
    <row r="852" spans="12:19">
      <c r="L852" t="s">
        <v>76</v>
      </c>
      <c r="M852" s="15">
        <v>45852</v>
      </c>
      <c r="N852" t="b">
        <v>0</v>
      </c>
      <c r="O852" s="10">
        <v>8278</v>
      </c>
      <c r="P852" s="10">
        <v>256</v>
      </c>
      <c r="Q852" s="10">
        <v>76</v>
      </c>
      <c r="R852" s="12">
        <v>30.92534428605943</v>
      </c>
      <c r="S852" s="12">
        <v>9.180961584923894</v>
      </c>
    </row>
    <row r="853" spans="12:19">
      <c r="L853" t="s">
        <v>76</v>
      </c>
      <c r="M853" s="15">
        <v>45859</v>
      </c>
      <c r="N853" t="b">
        <v>0</v>
      </c>
      <c r="O853" s="10">
        <v>8148</v>
      </c>
      <c r="P853" s="10">
        <v>299</v>
      </c>
      <c r="Q853" s="10">
        <v>119</v>
      </c>
      <c r="R853" s="12">
        <v>36.69612174766814</v>
      </c>
      <c r="S853" s="12">
        <v>14.60481099656357</v>
      </c>
    </row>
    <row r="854" spans="12:19">
      <c r="L854" t="s">
        <v>76</v>
      </c>
      <c r="M854" s="15">
        <v>45866</v>
      </c>
      <c r="N854" t="b">
        <v>0</v>
      </c>
      <c r="O854" s="10">
        <v>8849</v>
      </c>
      <c r="P854" s="10">
        <v>227</v>
      </c>
      <c r="Q854" s="10">
        <v>153</v>
      </c>
      <c r="R854" s="12">
        <v>25.65261611481523</v>
      </c>
      <c r="S854" s="12">
        <v>17.29008927562436</v>
      </c>
    </row>
    <row r="855" spans="12:19">
      <c r="L855" t="s">
        <v>76</v>
      </c>
      <c r="M855" s="15">
        <v>45873</v>
      </c>
      <c r="N855" t="b">
        <v>0</v>
      </c>
      <c r="O855" s="10">
        <v>9247</v>
      </c>
      <c r="P855" s="10">
        <v>141</v>
      </c>
      <c r="Q855" s="10">
        <v>79</v>
      </c>
      <c r="R855" s="12">
        <v>15.24818860170866</v>
      </c>
      <c r="S855" s="12">
        <v>8.543311344219747</v>
      </c>
    </row>
    <row r="856" spans="12:19">
      <c r="L856" t="s">
        <v>76</v>
      </c>
      <c r="M856" s="15">
        <v>45929</v>
      </c>
      <c r="N856" t="b">
        <v>0</v>
      </c>
      <c r="O856" s="10">
        <v>11438</v>
      </c>
      <c r="P856" s="10">
        <v>232</v>
      </c>
      <c r="Q856" s="10">
        <v>178</v>
      </c>
      <c r="R856" s="12">
        <v>20.28326630529813</v>
      </c>
      <c r="S856" s="12">
        <v>15.56216121699598</v>
      </c>
    </row>
    <row r="857" spans="12:19">
      <c r="L857" t="s">
        <v>76</v>
      </c>
      <c r="M857" s="15">
        <v>45936</v>
      </c>
      <c r="N857" t="b">
        <v>0</v>
      </c>
      <c r="O857" s="10">
        <v>12071</v>
      </c>
      <c r="P857" s="10">
        <v>141</v>
      </c>
      <c r="Q857" s="10">
        <v>141</v>
      </c>
      <c r="R857" s="12">
        <v>11.6808880788667</v>
      </c>
      <c r="S857" s="12">
        <v>11.6808880788667</v>
      </c>
    </row>
    <row r="858" spans="12:19">
      <c r="L858" t="s">
        <v>76</v>
      </c>
      <c r="M858" s="15">
        <v>45943</v>
      </c>
      <c r="N858" t="b">
        <v>0</v>
      </c>
      <c r="O858" s="10">
        <v>9400</v>
      </c>
      <c r="P858" s="10">
        <v>194</v>
      </c>
      <c r="Q858" s="10">
        <v>89</v>
      </c>
      <c r="R858" s="12">
        <v>20.63829787234043</v>
      </c>
      <c r="S858" s="12">
        <v>9.468085106382979</v>
      </c>
    </row>
    <row r="859" spans="12:19">
      <c r="L859" t="s">
        <v>76</v>
      </c>
      <c r="M859" s="15">
        <v>45950</v>
      </c>
      <c r="N859" t="b">
        <v>0</v>
      </c>
      <c r="O859" s="10">
        <v>8978</v>
      </c>
      <c r="P859" s="10">
        <v>186</v>
      </c>
      <c r="Q859" s="10">
        <v>106</v>
      </c>
      <c r="R859" s="12">
        <v>20.71730897750056</v>
      </c>
      <c r="S859" s="12">
        <v>11.80663844954333</v>
      </c>
    </row>
    <row r="860" spans="12:19">
      <c r="L860" t="s">
        <v>76</v>
      </c>
      <c r="M860" s="15">
        <v>45957</v>
      </c>
      <c r="N860" t="b">
        <v>0</v>
      </c>
      <c r="O860" s="10">
        <v>8301</v>
      </c>
      <c r="P860" s="10">
        <v>144</v>
      </c>
      <c r="Q860" s="10">
        <v>98</v>
      </c>
      <c r="R860" s="12">
        <v>17.34730755330683</v>
      </c>
      <c r="S860" s="12">
        <v>11.80580652933382</v>
      </c>
    </row>
    <row r="861" spans="12:19">
      <c r="L861" t="s">
        <v>76</v>
      </c>
      <c r="M861" s="15">
        <v>45964</v>
      </c>
      <c r="N861" t="b">
        <v>1</v>
      </c>
      <c r="O861" s="10">
        <v>8948</v>
      </c>
      <c r="P861" s="10">
        <v>142</v>
      </c>
      <c r="Q861" s="10">
        <v>177</v>
      </c>
      <c r="R861" s="12">
        <v>15.86946803755029</v>
      </c>
      <c r="S861" s="12">
        <v>19.78095663835494</v>
      </c>
    </row>
    <row r="862" spans="12:19">
      <c r="L862" t="s">
        <v>76</v>
      </c>
      <c r="M862" s="15">
        <v>45971</v>
      </c>
      <c r="N862" t="b">
        <v>1</v>
      </c>
      <c r="O862" s="10">
        <v>8171</v>
      </c>
      <c r="P862" s="10">
        <v>111</v>
      </c>
      <c r="Q862" s="10">
        <v>109</v>
      </c>
      <c r="R862" s="12">
        <v>13.5846285644352</v>
      </c>
      <c r="S862" s="12">
        <v>13.33986048219312</v>
      </c>
    </row>
    <row r="863" spans="12:19">
      <c r="L863" t="s">
        <v>76</v>
      </c>
      <c r="M863" s="15">
        <v>45978</v>
      </c>
      <c r="N863" t="b">
        <v>1</v>
      </c>
      <c r="O863" s="10">
        <v>8035</v>
      </c>
      <c r="P863" s="10">
        <v>72</v>
      </c>
      <c r="Q863" s="10">
        <v>70</v>
      </c>
      <c r="R863" s="12">
        <v>8.9607965152458</v>
      </c>
      <c r="S863" s="12">
        <v>8.711885500933416</v>
      </c>
    </row>
    <row r="864" spans="12:19">
      <c r="L864" t="s">
        <v>76</v>
      </c>
      <c r="M864" s="15">
        <v>45985</v>
      </c>
      <c r="N864" t="b">
        <v>1</v>
      </c>
      <c r="O864" s="10">
        <v>8675</v>
      </c>
      <c r="P864" s="10">
        <v>166</v>
      </c>
      <c r="Q864" s="10">
        <v>71</v>
      </c>
      <c r="R864" s="12">
        <v>19.13544668587896</v>
      </c>
      <c r="S864" s="12">
        <v>8.184438040345821</v>
      </c>
    </row>
    <row r="865" spans="12:19">
      <c r="L865" t="s">
        <v>76</v>
      </c>
      <c r="M865" s="15">
        <v>45992</v>
      </c>
      <c r="N865" t="b">
        <v>1</v>
      </c>
      <c r="O865" s="10">
        <v>7635</v>
      </c>
      <c r="P865" s="10">
        <v>105</v>
      </c>
      <c r="Q865" s="10">
        <v>102</v>
      </c>
      <c r="R865" s="12">
        <v>13.7524557956778</v>
      </c>
      <c r="S865" s="12">
        <v>13.35952848722986</v>
      </c>
    </row>
    <row r="866" spans="12:19">
      <c r="L866" t="s">
        <v>76</v>
      </c>
      <c r="M866" s="15">
        <v>45999</v>
      </c>
      <c r="N866" t="b">
        <v>1</v>
      </c>
      <c r="O866" s="10">
        <v>8584</v>
      </c>
      <c r="P866" s="10">
        <v>71</v>
      </c>
      <c r="Q866" s="10">
        <v>63</v>
      </c>
      <c r="R866" s="12">
        <v>8.271202236719478</v>
      </c>
      <c r="S866" s="12">
        <v>7.339235787511649</v>
      </c>
    </row>
    <row r="867" spans="12:19">
      <c r="L867" t="s">
        <v>76</v>
      </c>
      <c r="M867" s="15">
        <v>46006</v>
      </c>
      <c r="N867" t="b">
        <v>1</v>
      </c>
      <c r="O867" s="10">
        <v>8124</v>
      </c>
      <c r="P867" s="10">
        <v>92</v>
      </c>
      <c r="Q867" s="10">
        <v>68</v>
      </c>
      <c r="R867" s="12">
        <v>11.32447070408666</v>
      </c>
      <c r="S867" s="12">
        <v>8.370260955194485</v>
      </c>
    </row>
    <row r="868" spans="12:19">
      <c r="L868" t="s">
        <v>76</v>
      </c>
      <c r="M868" s="15">
        <v>46013</v>
      </c>
      <c r="N868" t="b">
        <v>1</v>
      </c>
      <c r="O868" s="10">
        <v>8374</v>
      </c>
      <c r="P868" s="10">
        <v>75</v>
      </c>
      <c r="Q868" s="10">
        <v>75</v>
      </c>
      <c r="R868" s="12">
        <v>8.956293288750896</v>
      </c>
      <c r="S868" s="12">
        <v>8.956293288750896</v>
      </c>
    </row>
    <row r="869" spans="12:19">
      <c r="L869" t="s">
        <v>76</v>
      </c>
      <c r="M869" s="15">
        <v>46020</v>
      </c>
      <c r="N869" t="b">
        <v>1</v>
      </c>
      <c r="O869" s="10">
        <v>7241</v>
      </c>
      <c r="P869" s="10">
        <v>113</v>
      </c>
      <c r="Q869" s="10">
        <v>84</v>
      </c>
      <c r="R869" s="12">
        <v>15.60557933987018</v>
      </c>
      <c r="S869" s="12">
        <v>11.60060765087695</v>
      </c>
    </row>
    <row r="870" spans="12:19">
      <c r="L870" t="s">
        <v>76</v>
      </c>
      <c r="M870" s="15">
        <v>46027</v>
      </c>
      <c r="N870" t="b">
        <v>1</v>
      </c>
      <c r="O870" s="10">
        <v>7355</v>
      </c>
      <c r="P870" s="10">
        <v>60</v>
      </c>
      <c r="Q870" s="10">
        <v>99</v>
      </c>
      <c r="R870" s="12">
        <v>8.157715839564922</v>
      </c>
      <c r="S870" s="12">
        <v>13.46023113528212</v>
      </c>
    </row>
    <row r="871" spans="12:19">
      <c r="L871" t="s">
        <v>76</v>
      </c>
      <c r="M871" s="15">
        <v>46034</v>
      </c>
      <c r="N871" t="b">
        <v>1</v>
      </c>
      <c r="O871" s="10">
        <v>8362</v>
      </c>
      <c r="P871" s="10">
        <v>127</v>
      </c>
      <c r="Q871" s="10">
        <v>64</v>
      </c>
      <c r="R871" s="12">
        <v>15.18775412580722</v>
      </c>
      <c r="S871" s="12">
        <v>7.653671370485529</v>
      </c>
    </row>
    <row r="872" spans="12:19">
      <c r="L872" t="s">
        <v>76</v>
      </c>
      <c r="M872" s="15">
        <v>46041</v>
      </c>
      <c r="N872" t="b">
        <v>1</v>
      </c>
      <c r="O872" s="10">
        <v>8548</v>
      </c>
      <c r="P872" s="10">
        <v>268</v>
      </c>
      <c r="Q872" s="10">
        <v>57</v>
      </c>
      <c r="R872" s="12">
        <v>31.3523631258774</v>
      </c>
      <c r="S872" s="12">
        <v>6.668226485727655</v>
      </c>
    </row>
    <row r="873" spans="12:19">
      <c r="L873" t="s">
        <v>76</v>
      </c>
      <c r="M873" s="15">
        <v>46048</v>
      </c>
      <c r="N873" t="b">
        <v>1</v>
      </c>
      <c r="O873" s="10">
        <v>7576</v>
      </c>
      <c r="P873" s="10">
        <v>271</v>
      </c>
      <c r="Q873" s="10">
        <v>121</v>
      </c>
      <c r="R873" s="12">
        <v>35.77085533262935</v>
      </c>
      <c r="S873" s="12">
        <v>15.9714889123548</v>
      </c>
    </row>
    <row r="874" spans="12:19">
      <c r="L874" t="s">
        <v>76</v>
      </c>
      <c r="M874" s="15">
        <v>46055</v>
      </c>
      <c r="N874" t="b">
        <v>1</v>
      </c>
      <c r="O874" s="10">
        <v>7268</v>
      </c>
      <c r="P874" s="10">
        <v>213</v>
      </c>
      <c r="Q874" s="10">
        <v>309</v>
      </c>
      <c r="R874" s="12">
        <v>29.30654925701706</v>
      </c>
      <c r="S874" s="12">
        <v>42.51513483764447</v>
      </c>
    </row>
    <row r="875" spans="12:19">
      <c r="L875" t="s">
        <v>76</v>
      </c>
      <c r="M875" s="15">
        <v>46062</v>
      </c>
      <c r="N875" t="b">
        <v>0</v>
      </c>
      <c r="O875" s="10">
        <v>8035</v>
      </c>
      <c r="P875" s="10">
        <v>213</v>
      </c>
      <c r="Q875" s="10">
        <v>177</v>
      </c>
      <c r="R875" s="12">
        <v>26.50902302426882</v>
      </c>
      <c r="S875" s="12">
        <v>22.02862476664592</v>
      </c>
    </row>
    <row r="876" spans="12:19">
      <c r="L876" t="s">
        <v>76</v>
      </c>
      <c r="M876" s="15">
        <v>46069</v>
      </c>
      <c r="N876" t="b">
        <v>0</v>
      </c>
      <c r="O876" s="10">
        <v>7912</v>
      </c>
      <c r="P876" s="10">
        <v>144</v>
      </c>
      <c r="Q876" s="10">
        <v>182</v>
      </c>
      <c r="R876" s="12">
        <v>18.20020222446916</v>
      </c>
      <c r="S876" s="12">
        <v>23.00303336703741</v>
      </c>
    </row>
    <row r="877" spans="12:19">
      <c r="L877" t="s">
        <v>76</v>
      </c>
      <c r="M877" s="15">
        <v>46076</v>
      </c>
      <c r="N877" t="b">
        <v>0</v>
      </c>
      <c r="O877" s="10">
        <v>8327</v>
      </c>
      <c r="P877" s="10">
        <v>172</v>
      </c>
      <c r="Q877" s="10">
        <v>178</v>
      </c>
      <c r="R877" s="12">
        <v>20.65569833073135</v>
      </c>
      <c r="S877" s="12">
        <v>21.37624594691966</v>
      </c>
    </row>
    <row r="878" spans="12:19">
      <c r="L878" t="s">
        <v>76</v>
      </c>
      <c r="M878" s="15">
        <v>46083</v>
      </c>
      <c r="N878" t="b">
        <v>0</v>
      </c>
      <c r="O878" s="10">
        <v>6788</v>
      </c>
      <c r="P878" s="10">
        <v>130</v>
      </c>
      <c r="Q878" s="10">
        <v>195</v>
      </c>
      <c r="R878" s="12">
        <v>19.15144372421921</v>
      </c>
      <c r="S878" s="12">
        <v>28.72716558632882</v>
      </c>
    </row>
    <row r="879" spans="12:19">
      <c r="L879" t="s">
        <v>76</v>
      </c>
      <c r="M879" s="15">
        <v>46090</v>
      </c>
      <c r="N879" t="b">
        <v>0</v>
      </c>
      <c r="O879" s="10">
        <v>8842</v>
      </c>
      <c r="P879" s="10">
        <v>141</v>
      </c>
      <c r="Q879" s="10">
        <v>212</v>
      </c>
      <c r="R879" s="12">
        <v>15.94661841212395</v>
      </c>
      <c r="S879" s="12">
        <v>23.9764759104275</v>
      </c>
    </row>
    <row r="880" spans="12:19">
      <c r="L880" t="s">
        <v>76</v>
      </c>
      <c r="M880" s="15">
        <v>46118</v>
      </c>
      <c r="N880" t="b">
        <v>0</v>
      </c>
      <c r="O880" s="10">
        <v>473</v>
      </c>
      <c r="P880" s="10">
        <v>0</v>
      </c>
      <c r="Q880" s="10">
        <v>0</v>
      </c>
      <c r="R880" s="12">
        <v>0</v>
      </c>
      <c r="S880" s="12">
        <v>0</v>
      </c>
    </row>
    <row r="881" spans="12:19">
      <c r="L881" t="s">
        <v>76</v>
      </c>
      <c r="M881" s="15">
        <v>46132</v>
      </c>
      <c r="N881" t="b">
        <v>0</v>
      </c>
      <c r="O881" s="10">
        <v>8065</v>
      </c>
      <c r="P881" s="10">
        <v>119</v>
      </c>
      <c r="Q881" s="10">
        <v>120</v>
      </c>
      <c r="R881" s="12">
        <v>14.75511469311841</v>
      </c>
      <c r="S881" s="12">
        <v>14.87910725356479</v>
      </c>
    </row>
    <row r="882" spans="12:19">
      <c r="L882" t="s">
        <v>76</v>
      </c>
      <c r="M882" s="15">
        <v>46139</v>
      </c>
      <c r="N882" t="b">
        <v>0</v>
      </c>
      <c r="O882" s="10">
        <v>7699</v>
      </c>
      <c r="P882" s="10">
        <v>161</v>
      </c>
      <c r="Q882" s="10">
        <v>79</v>
      </c>
      <c r="R882" s="12">
        <v>20.91180672814651</v>
      </c>
      <c r="S882" s="12">
        <v>10.26107286660605</v>
      </c>
    </row>
    <row r="883" spans="12:19">
      <c r="L883" t="s">
        <v>76</v>
      </c>
      <c r="M883" s="15">
        <v>46146</v>
      </c>
      <c r="N883" t="b">
        <v>0</v>
      </c>
      <c r="O883" s="10">
        <v>8014</v>
      </c>
      <c r="P883" s="10">
        <v>130</v>
      </c>
      <c r="Q883" s="10">
        <v>156</v>
      </c>
      <c r="R883" s="12">
        <v>16.2216121786873</v>
      </c>
      <c r="S883" s="12">
        <v>19.46593461442476</v>
      </c>
    </row>
    <row r="884" spans="12:19">
      <c r="L884" t="s">
        <v>76</v>
      </c>
      <c r="M884" s="15">
        <v>46153</v>
      </c>
      <c r="N884" t="b">
        <v>0</v>
      </c>
      <c r="O884" s="10">
        <v>6952</v>
      </c>
      <c r="P884" s="10">
        <v>77</v>
      </c>
      <c r="Q884" s="10">
        <v>95</v>
      </c>
      <c r="R884" s="12">
        <v>11.07594936708861</v>
      </c>
      <c r="S884" s="12">
        <v>13.66513233601841</v>
      </c>
    </row>
    <row r="885" spans="12:19">
      <c r="L885" t="s">
        <v>76</v>
      </c>
      <c r="M885" s="15">
        <v>46160</v>
      </c>
      <c r="N885" t="b">
        <v>0</v>
      </c>
      <c r="O885" s="10">
        <v>7782</v>
      </c>
      <c r="P885" s="10">
        <v>70</v>
      </c>
      <c r="Q885" s="10">
        <v>129</v>
      </c>
      <c r="R885" s="12">
        <v>8.995116936520175</v>
      </c>
      <c r="S885" s="12">
        <v>16.57671549730146</v>
      </c>
    </row>
    <row r="886" spans="12:19">
      <c r="L886" t="s">
        <v>76</v>
      </c>
      <c r="M886" s="15">
        <v>46167</v>
      </c>
      <c r="N886" t="b">
        <v>0</v>
      </c>
      <c r="O886" s="10">
        <v>8100</v>
      </c>
      <c r="P886" s="10">
        <v>72</v>
      </c>
      <c r="Q886" s="10">
        <v>82</v>
      </c>
      <c r="R886" s="12">
        <v>8.888888888888889</v>
      </c>
      <c r="S886" s="12">
        <v>10.12345679012346</v>
      </c>
    </row>
    <row r="887" spans="12:19">
      <c r="L887" t="s">
        <v>76</v>
      </c>
      <c r="M887" s="15">
        <v>46174</v>
      </c>
      <c r="N887" t="b">
        <v>0</v>
      </c>
      <c r="O887" s="10">
        <v>7928</v>
      </c>
      <c r="P887" s="10">
        <v>77</v>
      </c>
      <c r="Q887" s="10">
        <v>149</v>
      </c>
      <c r="R887" s="12">
        <v>9.712411705348131</v>
      </c>
      <c r="S887" s="12">
        <v>18.7941473259334</v>
      </c>
    </row>
    <row r="888" spans="12:19">
      <c r="L888" t="s">
        <v>76</v>
      </c>
      <c r="M888" s="15">
        <v>46181</v>
      </c>
      <c r="N888" t="b">
        <v>0</v>
      </c>
      <c r="O888" s="10">
        <v>7961</v>
      </c>
      <c r="P888" s="10">
        <v>42</v>
      </c>
      <c r="Q888" s="10">
        <v>65</v>
      </c>
      <c r="R888" s="12">
        <v>5.275719130762467</v>
      </c>
      <c r="S888" s="12">
        <v>8.164803416656198</v>
      </c>
    </row>
    <row r="889" spans="12:19">
      <c r="L889" t="s">
        <v>76</v>
      </c>
      <c r="M889" s="15">
        <v>46188</v>
      </c>
      <c r="N889" t="b">
        <v>0</v>
      </c>
      <c r="O889" s="10">
        <v>8218</v>
      </c>
      <c r="P889" s="10">
        <v>53</v>
      </c>
      <c r="Q889" s="10">
        <v>111</v>
      </c>
      <c r="R889" s="12">
        <v>6.449257726940862</v>
      </c>
      <c r="S889" s="12">
        <v>13.50693599415916</v>
      </c>
    </row>
    <row r="890" spans="12:19">
      <c r="L890" t="s">
        <v>76</v>
      </c>
      <c r="M890" s="15">
        <v>46195</v>
      </c>
      <c r="N890" t="b">
        <v>0</v>
      </c>
      <c r="O890" s="10">
        <v>7308</v>
      </c>
      <c r="P890" s="10">
        <v>91</v>
      </c>
      <c r="Q890" s="10">
        <v>76</v>
      </c>
      <c r="R890" s="12">
        <v>12.45210727969349</v>
      </c>
      <c r="S890" s="12">
        <v>10.39956212370005</v>
      </c>
    </row>
    <row r="891" spans="12:19">
      <c r="L891" t="s">
        <v>76</v>
      </c>
      <c r="M891" s="15">
        <v>46202</v>
      </c>
      <c r="N891" t="b">
        <v>0</v>
      </c>
      <c r="O891" s="10">
        <v>8118</v>
      </c>
      <c r="P891" s="10">
        <v>120</v>
      </c>
      <c r="Q891" s="10">
        <v>112</v>
      </c>
      <c r="R891" s="12">
        <v>14.7819660014782</v>
      </c>
      <c r="S891" s="12">
        <v>13.79650160137965</v>
      </c>
    </row>
    <row r="892" spans="12:19">
      <c r="L892" t="s">
        <v>76</v>
      </c>
      <c r="M892" s="15">
        <v>46209</v>
      </c>
      <c r="N892" t="b">
        <v>0</v>
      </c>
      <c r="O892" s="10">
        <v>8114</v>
      </c>
      <c r="P892" s="10">
        <v>74</v>
      </c>
      <c r="Q892" s="10">
        <v>93</v>
      </c>
      <c r="R892" s="12">
        <v>9.12003943800838</v>
      </c>
      <c r="S892" s="12">
        <v>11.46167118560513</v>
      </c>
    </row>
    <row r="893" spans="12:19">
      <c r="L893" t="s">
        <v>76</v>
      </c>
      <c r="M893" s="15">
        <v>46216</v>
      </c>
      <c r="N893" t="b">
        <v>0</v>
      </c>
      <c r="O893" s="10">
        <v>6807</v>
      </c>
      <c r="P893" s="10">
        <v>86</v>
      </c>
      <c r="Q893" s="10">
        <v>110</v>
      </c>
      <c r="R893" s="12">
        <v>12.63405318054944</v>
      </c>
      <c r="S893" s="12">
        <v>16.15983546349346</v>
      </c>
    </row>
    <row r="894" spans="12:19">
      <c r="L894" t="s">
        <v>76</v>
      </c>
      <c r="M894" s="15">
        <v>46223</v>
      </c>
      <c r="N894" t="b">
        <v>0</v>
      </c>
      <c r="O894" s="10">
        <v>8466</v>
      </c>
      <c r="P894" s="10">
        <v>91</v>
      </c>
      <c r="Q894" s="10">
        <v>100</v>
      </c>
      <c r="R894" s="12">
        <v>10.74887786439877</v>
      </c>
      <c r="S894" s="12">
        <v>11.81195369714151</v>
      </c>
    </row>
    <row r="895" spans="12:19">
      <c r="L895" t="s">
        <v>76</v>
      </c>
      <c r="M895" s="15">
        <v>46230</v>
      </c>
      <c r="N895" t="b">
        <v>0</v>
      </c>
      <c r="O895" s="10">
        <v>7008</v>
      </c>
      <c r="P895" s="10">
        <v>260</v>
      </c>
      <c r="Q895" s="10">
        <v>59</v>
      </c>
      <c r="R895" s="12">
        <v>37.10045662100457</v>
      </c>
      <c r="S895" s="12">
        <v>8.418949771689498</v>
      </c>
    </row>
    <row r="896" spans="12:19">
      <c r="L896" t="s">
        <v>76</v>
      </c>
      <c r="M896" s="15">
        <v>46237</v>
      </c>
      <c r="N896" t="b">
        <v>0</v>
      </c>
      <c r="O896" s="10">
        <v>8065</v>
      </c>
      <c r="P896" s="10">
        <v>112</v>
      </c>
      <c r="Q896" s="10">
        <v>58</v>
      </c>
      <c r="R896" s="12">
        <v>13.8871667699938</v>
      </c>
      <c r="S896" s="12">
        <v>7.191568505889647</v>
      </c>
    </row>
    <row r="897" spans="12:19">
      <c r="L897" t="s">
        <v>76</v>
      </c>
      <c r="M897" s="15">
        <v>46244</v>
      </c>
      <c r="N897" t="b">
        <v>0</v>
      </c>
      <c r="O897" s="10">
        <v>6910</v>
      </c>
      <c r="P897" s="10">
        <v>139</v>
      </c>
      <c r="Q897" s="10">
        <v>66</v>
      </c>
      <c r="R897" s="12">
        <v>20.11577424023155</v>
      </c>
      <c r="S897" s="12">
        <v>9.551374819102749</v>
      </c>
    </row>
    <row r="898" spans="12:19">
      <c r="L898" t="s">
        <v>76</v>
      </c>
      <c r="M898" s="15">
        <v>46251</v>
      </c>
      <c r="N898" t="b">
        <v>0</v>
      </c>
      <c r="O898" s="10">
        <v>8034</v>
      </c>
      <c r="P898" s="10">
        <v>59</v>
      </c>
      <c r="Q898" s="10">
        <v>76</v>
      </c>
      <c r="R898" s="12">
        <v>7.343788897186956</v>
      </c>
      <c r="S898" s="12">
        <v>9.45979586756286</v>
      </c>
    </row>
    <row r="899" spans="12:19">
      <c r="L899" t="s">
        <v>76</v>
      </c>
      <c r="M899" s="15">
        <v>46258</v>
      </c>
      <c r="N899" t="b">
        <v>0</v>
      </c>
      <c r="O899" s="10">
        <v>6812</v>
      </c>
      <c r="P899" s="10">
        <v>137</v>
      </c>
      <c r="Q899" s="10">
        <v>100</v>
      </c>
      <c r="R899" s="12">
        <v>20.11156782149149</v>
      </c>
      <c r="S899" s="12">
        <v>14.67997651203758</v>
      </c>
    </row>
    <row r="900" spans="12:19">
      <c r="L900" t="s">
        <v>76</v>
      </c>
      <c r="M900" s="15">
        <v>46265</v>
      </c>
      <c r="N900" t="b">
        <v>0</v>
      </c>
      <c r="O900" s="10">
        <v>7967</v>
      </c>
      <c r="P900" s="10">
        <v>162</v>
      </c>
      <c r="Q900" s="10">
        <v>49</v>
      </c>
      <c r="R900" s="12">
        <v>20.33387724362997</v>
      </c>
      <c r="S900" s="12">
        <v>6.150370277394251</v>
      </c>
    </row>
    <row r="901" spans="12:19">
      <c r="L901" t="s">
        <v>76</v>
      </c>
      <c r="M901" s="15">
        <v>46272</v>
      </c>
      <c r="N901" t="b">
        <v>0</v>
      </c>
      <c r="O901" s="10">
        <v>8031</v>
      </c>
      <c r="P901" s="10">
        <v>80</v>
      </c>
      <c r="Q901" s="10">
        <v>54</v>
      </c>
      <c r="R901" s="12">
        <v>9.96139957664052</v>
      </c>
      <c r="S901" s="12">
        <v>6.72394471423235</v>
      </c>
    </row>
    <row r="902" spans="12:19">
      <c r="L902" t="s">
        <v>76</v>
      </c>
      <c r="M902" s="15">
        <v>46279</v>
      </c>
      <c r="N902" t="b">
        <v>0</v>
      </c>
      <c r="O902" s="10">
        <v>7902</v>
      </c>
      <c r="P902" s="10">
        <v>80</v>
      </c>
      <c r="Q902" s="10">
        <v>33</v>
      </c>
      <c r="R902" s="12">
        <v>10.12401923563655</v>
      </c>
      <c r="S902" s="12">
        <v>4.176157934700076</v>
      </c>
    </row>
    <row r="903" spans="12:19">
      <c r="L903" t="s">
        <v>76</v>
      </c>
      <c r="M903" s="15">
        <v>46286</v>
      </c>
      <c r="N903" t="b">
        <v>0</v>
      </c>
      <c r="O903" s="10">
        <v>6872</v>
      </c>
      <c r="P903" s="10">
        <v>54</v>
      </c>
      <c r="Q903" s="10">
        <v>74</v>
      </c>
      <c r="R903" s="12">
        <v>7.857974388824214</v>
      </c>
      <c r="S903" s="12">
        <v>10.76833527357392</v>
      </c>
    </row>
    <row r="904" spans="12:19">
      <c r="L904" t="s">
        <v>76</v>
      </c>
      <c r="M904" s="15">
        <v>46293</v>
      </c>
      <c r="N904" t="b">
        <v>0</v>
      </c>
      <c r="O904" s="10">
        <v>6819</v>
      </c>
      <c r="P904" s="10">
        <v>153</v>
      </c>
      <c r="Q904" s="10">
        <v>54</v>
      </c>
      <c r="R904" s="12">
        <v>22.43730752309723</v>
      </c>
      <c r="S904" s="12">
        <v>7.919049714034315</v>
      </c>
    </row>
    <row r="905" spans="12:19">
      <c r="L905" t="s">
        <v>76</v>
      </c>
      <c r="M905" s="15">
        <v>46300</v>
      </c>
      <c r="N905" t="b">
        <v>0</v>
      </c>
      <c r="O905" s="10">
        <v>8096</v>
      </c>
      <c r="P905" s="10">
        <v>119</v>
      </c>
      <c r="Q905" s="10">
        <v>109</v>
      </c>
      <c r="R905" s="12">
        <v>14.69861660079051</v>
      </c>
      <c r="S905" s="12">
        <v>13.46343873517786</v>
      </c>
    </row>
  </sheetData>
  <conditionalFormatting sqref="D5:D12">
    <cfRule type="colorScale" priority="1">
      <colorScale>
        <cfvo type="min" val="0"/>
        <cfvo type="num" val="1"/>
        <cfvo type="max" val="0"/>
        <color rgb="FF2A78D6"/>
        <color rgb="FFF0EFEC"/>
        <color rgb="FFE34948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6"/>
  <sheetViews>
    <sheetView showGridLines="0" workbookViewId="0"/>
  </sheetViews>
  <sheetFormatPr defaultRowHeight="15"/>
  <cols>
    <col min="1" max="2" width="11.7109375" customWidth="1"/>
    <col min="3" max="3" width="24.7109375" customWidth="1"/>
    <col min="4" max="4" width="14.7109375" customWidth="1"/>
    <col min="5" max="5" width="11.7109375" customWidth="1"/>
    <col min="6" max="6" width="25.7109375" customWidth="1"/>
    <col min="7" max="7" width="21.7109375" customWidth="1"/>
    <col min="8" max="8" width="26.7109375" customWidth="1"/>
  </cols>
  <sheetData>
    <row r="1" spans="1:8">
      <c r="A1" s="1" t="s">
        <v>186</v>
      </c>
    </row>
    <row r="2" spans="1:8">
      <c r="A2" s="2" t="s">
        <v>187</v>
      </c>
    </row>
    <row r="4" spans="1:8" ht="32" customHeight="1">
      <c r="A4" s="9" t="s">
        <v>51</v>
      </c>
      <c r="B4" s="9" t="s">
        <v>176</v>
      </c>
      <c r="C4" s="9" t="s">
        <v>55</v>
      </c>
      <c r="D4" s="9" t="s">
        <v>59</v>
      </c>
      <c r="E4" s="9" t="s">
        <v>188</v>
      </c>
      <c r="F4" s="9" t="s">
        <v>189</v>
      </c>
      <c r="G4" s="9" t="s">
        <v>190</v>
      </c>
      <c r="H4" s="9" t="s">
        <v>191</v>
      </c>
    </row>
    <row r="5" spans="1:8">
      <c r="A5" t="s">
        <v>83</v>
      </c>
      <c r="B5" t="s">
        <v>185</v>
      </c>
      <c r="C5" s="10">
        <v>1162957</v>
      </c>
      <c r="D5" s="11">
        <v>0.2819528151083832</v>
      </c>
      <c r="E5" s="11">
        <v>0.180120080053369</v>
      </c>
      <c r="F5" s="11">
        <v>0.1963890634705465</v>
      </c>
      <c r="G5" s="11">
        <v>0.2762752858399296</v>
      </c>
      <c r="H5" s="11">
        <v>0</v>
      </c>
    </row>
    <row r="6" spans="1:8">
      <c r="A6" t="s">
        <v>76</v>
      </c>
      <c r="B6" t="s">
        <v>185</v>
      </c>
      <c r="C6" s="10">
        <v>826084</v>
      </c>
      <c r="D6" s="11">
        <v>0.0575268374644709</v>
      </c>
      <c r="E6" s="11">
        <v>0.1503006012024048</v>
      </c>
      <c r="F6" s="11">
        <v>0.1785395406798151</v>
      </c>
      <c r="G6" s="11">
        <v>0.1344222702427863</v>
      </c>
      <c r="H6" s="11">
        <v>0</v>
      </c>
    </row>
    <row r="7" spans="1:8">
      <c r="A7" t="s">
        <v>83</v>
      </c>
      <c r="B7" t="s">
        <v>184</v>
      </c>
      <c r="C7" s="10">
        <v>4188884</v>
      </c>
      <c r="D7" s="11">
        <v>0.3567625649218264</v>
      </c>
      <c r="E7" s="11">
        <v>0.2292870905587669</v>
      </c>
      <c r="F7" s="11">
        <v>0.2383491638809893</v>
      </c>
      <c r="G7" s="11">
        <v>0.4334425170102068</v>
      </c>
      <c r="H7" s="11">
        <v>0</v>
      </c>
    </row>
    <row r="8" spans="1:8">
      <c r="A8" t="s">
        <v>76</v>
      </c>
      <c r="B8" t="s">
        <v>184</v>
      </c>
      <c r="C8" s="10">
        <v>3763826</v>
      </c>
      <c r="D8" s="11">
        <v>0.2363916397835606</v>
      </c>
      <c r="E8" s="11">
        <v>0.2003004506760139</v>
      </c>
      <c r="F8" s="11">
        <v>0.2155338737455785</v>
      </c>
      <c r="G8" s="11">
        <v>0.2946791795158909</v>
      </c>
      <c r="H8" s="11">
        <v>0</v>
      </c>
    </row>
    <row r="9" spans="1:8">
      <c r="A9" t="s">
        <v>61</v>
      </c>
      <c r="B9" t="s">
        <v>185</v>
      </c>
      <c r="C9" s="10">
        <v>1926019</v>
      </c>
      <c r="D9" s="11">
        <v>0.2427686331235569</v>
      </c>
      <c r="E9" s="11">
        <v>0.1638795986622074</v>
      </c>
      <c r="F9" s="11">
        <v>0.1697952662708108</v>
      </c>
      <c r="G9" s="11">
        <v>0.1204265544523275</v>
      </c>
      <c r="H9" s="11">
        <v>0</v>
      </c>
    </row>
    <row r="10" spans="1:8">
      <c r="A10" t="s">
        <v>73</v>
      </c>
      <c r="B10" t="s">
        <v>184</v>
      </c>
      <c r="C10" s="10">
        <v>5273887</v>
      </c>
      <c r="D10" s="11">
        <v>0.3549093865681991</v>
      </c>
      <c r="E10" s="11">
        <v>0.1649269311064718</v>
      </c>
      <c r="F10" s="11">
        <v>0.1928277800070264</v>
      </c>
      <c r="G10" s="11">
        <v>0.2754150441628445</v>
      </c>
      <c r="H10" s="11">
        <v>0.215389111378003</v>
      </c>
    </row>
    <row r="11" spans="1:8">
      <c r="A11" t="s">
        <v>66</v>
      </c>
      <c r="B11" t="s">
        <v>184</v>
      </c>
      <c r="C11" s="10">
        <v>6251888</v>
      </c>
      <c r="D11" s="11">
        <v>0.1541479949736783</v>
      </c>
      <c r="E11" s="11">
        <v>0.1589473684210526</v>
      </c>
      <c r="F11" s="11">
        <v>0.1814200448323287</v>
      </c>
      <c r="G11" s="11">
        <v>0.2303652633123074</v>
      </c>
      <c r="H11" s="11">
        <v>0</v>
      </c>
    </row>
    <row r="12" spans="1:8">
      <c r="A12" t="s">
        <v>68</v>
      </c>
      <c r="B12" t="s">
        <v>185</v>
      </c>
      <c r="C12" s="10">
        <v>572037</v>
      </c>
      <c r="D12" s="11">
        <v>0.08291946150336429</v>
      </c>
      <c r="E12" s="11">
        <v>0.1986851716581446</v>
      </c>
      <c r="F12" s="11">
        <v>0.2053164582452382</v>
      </c>
      <c r="G12" s="11">
        <v>0.2971222257619199</v>
      </c>
      <c r="H12" s="11">
        <v>0</v>
      </c>
    </row>
    <row r="13" spans="1:8">
      <c r="A13" t="s">
        <v>70</v>
      </c>
      <c r="B13" t="s">
        <v>185</v>
      </c>
      <c r="C13" s="10">
        <v>2428918</v>
      </c>
      <c r="D13" s="11">
        <v>0.117195393175068</v>
      </c>
      <c r="E13" s="11">
        <v>0.1501501501501501</v>
      </c>
      <c r="F13" s="11">
        <v>0.1698146623410278</v>
      </c>
      <c r="G13" s="11">
        <v>0.2069233190722166</v>
      </c>
      <c r="H13" s="11">
        <v>0</v>
      </c>
    </row>
    <row r="14" spans="1:8">
      <c r="A14" t="s">
        <v>61</v>
      </c>
      <c r="B14" t="s">
        <v>184</v>
      </c>
      <c r="C14" s="10">
        <v>7942081</v>
      </c>
      <c r="D14" s="11">
        <v>0.2815127420634466</v>
      </c>
      <c r="E14" s="11">
        <v>0.1652754590984975</v>
      </c>
      <c r="F14" s="11">
        <v>0.1737975621319453</v>
      </c>
      <c r="G14" s="11">
        <v>0.1215936932556265</v>
      </c>
      <c r="H14" s="11">
        <v>0</v>
      </c>
    </row>
    <row r="15" spans="1:8">
      <c r="A15" t="s">
        <v>73</v>
      </c>
      <c r="B15" t="s">
        <v>185</v>
      </c>
      <c r="C15" s="10">
        <v>1077811</v>
      </c>
      <c r="D15" s="11">
        <v>0.3097825128895511</v>
      </c>
      <c r="E15" s="11">
        <v>0.12531328320802</v>
      </c>
      <c r="F15" s="11">
        <v>0.1614304559783992</v>
      </c>
      <c r="G15" s="11">
        <v>0.1884273481334257</v>
      </c>
      <c r="H15" s="11">
        <v>0.2081602458316735</v>
      </c>
    </row>
    <row r="16" spans="1:8">
      <c r="A16" t="s">
        <v>66</v>
      </c>
      <c r="B16" t="s">
        <v>185</v>
      </c>
      <c r="C16" s="10">
        <v>1631755</v>
      </c>
      <c r="D16" s="11">
        <v>0.0907164372102429</v>
      </c>
      <c r="E16" s="11">
        <v>0.1381692573402417</v>
      </c>
      <c r="F16" s="11">
        <v>0.1597327088665961</v>
      </c>
      <c r="G16" s="11">
        <v>0.1546523464988692</v>
      </c>
      <c r="H16" s="11">
        <v>0</v>
      </c>
    </row>
    <row r="17" spans="1:8">
      <c r="A17" t="s">
        <v>68</v>
      </c>
      <c r="B17" t="s">
        <v>184</v>
      </c>
      <c r="C17" s="10">
        <v>3656554</v>
      </c>
      <c r="D17" s="11">
        <v>0.0697985042747898</v>
      </c>
      <c r="E17" s="11">
        <v>0.2342064714946071</v>
      </c>
      <c r="F17" s="11">
        <v>0.240616121123931</v>
      </c>
      <c r="G17" s="11">
        <v>0.4406597624920368</v>
      </c>
      <c r="H17" s="11">
        <v>0</v>
      </c>
    </row>
    <row r="18" spans="1:8">
      <c r="A18" t="s">
        <v>70</v>
      </c>
      <c r="B18" t="s">
        <v>184</v>
      </c>
      <c r="C18" s="10">
        <v>7719792</v>
      </c>
      <c r="D18" s="11">
        <v>0.2229791942580836</v>
      </c>
      <c r="E18" s="11">
        <v>0.1914580265095729</v>
      </c>
      <c r="F18" s="11">
        <v>0.2101799694962374</v>
      </c>
      <c r="G18" s="11">
        <v>0.3130467060930363</v>
      </c>
      <c r="H18" s="11">
        <v>0</v>
      </c>
    </row>
    <row r="19" spans="1:8">
      <c r="A19" t="s">
        <v>80</v>
      </c>
      <c r="B19" t="s">
        <v>184</v>
      </c>
      <c r="C19" s="10">
        <v>4308801</v>
      </c>
      <c r="D19" s="11">
        <v>0.0087307350699185</v>
      </c>
      <c r="E19" s="11">
        <v>0.2048192771084338</v>
      </c>
      <c r="F19" s="11">
        <v>0.229278958198504</v>
      </c>
      <c r="G19" s="11">
        <v>0.3587814668119833</v>
      </c>
      <c r="H19" s="11">
        <v>0</v>
      </c>
    </row>
    <row r="23" spans="1:8" ht="32" customHeight="1">
      <c r="A23" s="9" t="s">
        <v>101</v>
      </c>
      <c r="B23" s="9" t="s">
        <v>102</v>
      </c>
      <c r="C23" s="9" t="s">
        <v>140</v>
      </c>
      <c r="D23" s="9" t="s">
        <v>192</v>
      </c>
      <c r="E23" s="9" t="s">
        <v>193</v>
      </c>
      <c r="F23" s="9" t="s">
        <v>194</v>
      </c>
      <c r="G23" s="9" t="s">
        <v>195</v>
      </c>
    </row>
    <row r="24" spans="1:8">
      <c r="A24" t="s">
        <v>61</v>
      </c>
      <c r="B24" t="s">
        <v>66</v>
      </c>
      <c r="C24" t="s">
        <v>115</v>
      </c>
      <c r="D24" s="10">
        <v>6317994</v>
      </c>
      <c r="E24" s="11">
        <v>0.1606682437495192</v>
      </c>
      <c r="F24" s="11">
        <v>0.2290960835135675</v>
      </c>
      <c r="G24" s="14">
        <v>1.425895237086968</v>
      </c>
    </row>
    <row r="25" spans="1:8">
      <c r="A25" t="s">
        <v>61</v>
      </c>
      <c r="B25" t="s">
        <v>73</v>
      </c>
      <c r="C25" t="s">
        <v>117</v>
      </c>
      <c r="D25" s="10">
        <v>1952799</v>
      </c>
      <c r="E25" s="11">
        <v>0.4244922288469013</v>
      </c>
      <c r="F25" s="11">
        <v>0.5395082830941357</v>
      </c>
      <c r="G25" s="14">
        <v>1.270949728713918</v>
      </c>
    </row>
    <row r="26" spans="1:8">
      <c r="A26" t="s">
        <v>66</v>
      </c>
      <c r="B26" t="s">
        <v>73</v>
      </c>
      <c r="C26" t="s">
        <v>117</v>
      </c>
      <c r="D26" s="10">
        <v>1772664</v>
      </c>
      <c r="E26" s="11">
        <v>0.4324068182125885</v>
      </c>
      <c r="F26" s="11">
        <v>0.4940465118786712</v>
      </c>
      <c r="G26" s="14">
        <v>1.142550235264279</v>
      </c>
    </row>
    <row r="27" spans="1:8">
      <c r="A27" t="s">
        <v>61</v>
      </c>
      <c r="B27" t="s">
        <v>76</v>
      </c>
      <c r="C27" t="s">
        <v>117</v>
      </c>
      <c r="D27" s="10">
        <v>1510382</v>
      </c>
      <c r="E27" s="11">
        <v>0.3052505922342824</v>
      </c>
      <c r="F27" s="11">
        <v>0.4261378097430545</v>
      </c>
      <c r="G27" s="14">
        <v>1.396026152230984</v>
      </c>
    </row>
    <row r="28" spans="1:8">
      <c r="A28" t="s">
        <v>66</v>
      </c>
      <c r="B28" t="s">
        <v>76</v>
      </c>
      <c r="C28" t="s">
        <v>117</v>
      </c>
      <c r="D28" s="10">
        <v>1482418</v>
      </c>
      <c r="E28" s="11">
        <v>0.3055211148272619</v>
      </c>
      <c r="F28" s="11">
        <v>0.3775766360328131</v>
      </c>
      <c r="G28" s="14">
        <v>1.235844652656136</v>
      </c>
    </row>
    <row r="29" spans="1:8">
      <c r="A29" t="s">
        <v>73</v>
      </c>
      <c r="B29" t="s">
        <v>76</v>
      </c>
      <c r="C29" t="s">
        <v>117</v>
      </c>
      <c r="D29" s="10">
        <v>1375621</v>
      </c>
      <c r="E29" s="11">
        <v>0.3100643273110835</v>
      </c>
      <c r="F29" s="11">
        <v>0.3888133214627651</v>
      </c>
      <c r="G29" s="14">
        <v>1.253976311414482</v>
      </c>
    </row>
    <row r="30" spans="1:8">
      <c r="A30" t="s">
        <v>61</v>
      </c>
      <c r="B30" t="s">
        <v>70</v>
      </c>
      <c r="C30" t="s">
        <v>117</v>
      </c>
      <c r="D30" s="10">
        <v>492272</v>
      </c>
      <c r="E30" s="11">
        <v>0.2670210777781389</v>
      </c>
      <c r="F30" s="11">
        <v>0.3263700277807955</v>
      </c>
      <c r="G30" s="14">
        <v>1.222263165501744</v>
      </c>
    </row>
    <row r="31" spans="1:8">
      <c r="A31" t="s">
        <v>73</v>
      </c>
      <c r="B31" t="s">
        <v>70</v>
      </c>
      <c r="C31" t="s">
        <v>117</v>
      </c>
      <c r="D31" s="10">
        <v>562743</v>
      </c>
      <c r="E31" s="11">
        <v>0.254297254697082</v>
      </c>
      <c r="F31" s="11">
        <v>0.2992813239673207</v>
      </c>
      <c r="G31" s="14">
        <v>1.176895615030621</v>
      </c>
    </row>
    <row r="32" spans="1:8">
      <c r="A32" t="s">
        <v>61</v>
      </c>
      <c r="B32" t="s">
        <v>83</v>
      </c>
      <c r="C32" t="s">
        <v>118</v>
      </c>
      <c r="D32" s="10">
        <v>2054999</v>
      </c>
      <c r="E32" s="11">
        <v>0.3850702603748225</v>
      </c>
      <c r="F32" s="11">
        <v>0.4579854525704678</v>
      </c>
      <c r="G32" s="14">
        <v>1.189355553255841</v>
      </c>
    </row>
    <row r="33" spans="1:7">
      <c r="A33" t="s">
        <v>66</v>
      </c>
      <c r="B33" t="s">
        <v>83</v>
      </c>
      <c r="C33" t="s">
        <v>118</v>
      </c>
      <c r="D33" s="10">
        <v>1910281</v>
      </c>
      <c r="E33" s="11">
        <v>0.3859599713340603</v>
      </c>
      <c r="F33" s="11">
        <v>0.4310771811745439</v>
      </c>
      <c r="G33" s="14">
        <v>1.116896085582495</v>
      </c>
    </row>
    <row r="34" spans="1:7">
      <c r="A34" t="s">
        <v>73</v>
      </c>
      <c r="B34" t="s">
        <v>83</v>
      </c>
      <c r="C34" t="s">
        <v>118</v>
      </c>
      <c r="D34" s="10">
        <v>1829757</v>
      </c>
      <c r="E34" s="11">
        <v>0.4016844859727275</v>
      </c>
      <c r="F34" s="11">
        <v>0.4647310089344615</v>
      </c>
      <c r="G34" s="14">
        <v>1.156955334754986</v>
      </c>
    </row>
    <row r="35" spans="1:7">
      <c r="A35" t="s">
        <v>76</v>
      </c>
      <c r="B35" t="s">
        <v>83</v>
      </c>
      <c r="C35" t="s">
        <v>118</v>
      </c>
      <c r="D35" s="10">
        <v>1365625</v>
      </c>
      <c r="E35" s="11">
        <v>0.400163295194508</v>
      </c>
      <c r="F35" s="11">
        <v>0.4804245818060249</v>
      </c>
      <c r="G35" s="14">
        <v>1.200571335690606</v>
      </c>
    </row>
    <row r="36" spans="1:7">
      <c r="A36" t="s">
        <v>73</v>
      </c>
      <c r="B36" t="s">
        <v>80</v>
      </c>
      <c r="C36" t="s">
        <v>119</v>
      </c>
      <c r="D36" s="10">
        <v>298600</v>
      </c>
      <c r="E36" s="11">
        <v>0.0071366376423308</v>
      </c>
      <c r="F36" s="11">
        <v>0.008421394895139</v>
      </c>
      <c r="G36" s="14">
        <v>1.180022766629989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7"/>
  <sheetViews>
    <sheetView showGridLines="0" workbookViewId="0"/>
  </sheetViews>
  <sheetFormatPr defaultRowHeight="15"/>
  <cols>
    <col min="1" max="1" width="11.7109375" customWidth="1"/>
    <col min="2" max="2" width="26.7109375" customWidth="1"/>
    <col min="3" max="3" width="11.7109375" customWidth="1"/>
    <col min="4" max="4" width="13.7109375" customWidth="1"/>
    <col min="5" max="5" width="12.7109375" customWidth="1"/>
    <col min="6" max="6" width="15.7109375" customWidth="1"/>
    <col min="7" max="7" width="16.7109375" customWidth="1"/>
  </cols>
  <sheetData>
    <row r="1" spans="1:7">
      <c r="A1" s="1" t="s">
        <v>196</v>
      </c>
    </row>
    <row r="2" spans="1:7">
      <c r="A2" s="2" t="s">
        <v>197</v>
      </c>
    </row>
    <row r="4" spans="1:7" ht="32" customHeight="1">
      <c r="A4" s="9" t="s">
        <v>51</v>
      </c>
      <c r="B4" s="9" t="s">
        <v>54</v>
      </c>
      <c r="C4" s="9" t="s">
        <v>198</v>
      </c>
      <c r="D4" s="9" t="s">
        <v>199</v>
      </c>
      <c r="E4" s="9" t="s">
        <v>200</v>
      </c>
      <c r="F4" s="9" t="s">
        <v>201</v>
      </c>
      <c r="G4" s="9" t="s">
        <v>202</v>
      </c>
    </row>
    <row r="5" spans="1:7">
      <c r="A5" t="s">
        <v>80</v>
      </c>
      <c r="B5" s="10">
        <v>7503</v>
      </c>
      <c r="C5" s="10">
        <v>0</v>
      </c>
      <c r="D5" s="10">
        <v>37619</v>
      </c>
      <c r="E5" s="10">
        <v>0</v>
      </c>
      <c r="F5" s="11">
        <f>C5/B5</f>
        <v>0.0</v>
      </c>
      <c r="G5" s="11">
        <f>IFERROR(E5/D5,0)</f>
        <v>0.0</v>
      </c>
    </row>
    <row r="6" spans="1:7">
      <c r="A6" t="s">
        <v>61</v>
      </c>
      <c r="B6" s="10">
        <v>25591</v>
      </c>
      <c r="C6" s="10">
        <v>3883</v>
      </c>
      <c r="D6" s="10">
        <v>2703374</v>
      </c>
      <c r="E6" s="10">
        <v>467577</v>
      </c>
      <c r="F6" s="11">
        <f>C6/B6</f>
        <v>0.1517330311437614</v>
      </c>
      <c r="G6" s="11">
        <f>IFERROR(E6/D6,0)</f>
        <v>0.1729605300635428</v>
      </c>
    </row>
    <row r="7" spans="1:7">
      <c r="A7" t="s">
        <v>73</v>
      </c>
      <c r="B7" s="10">
        <v>23512</v>
      </c>
      <c r="C7" s="10">
        <v>3116</v>
      </c>
      <c r="D7" s="10">
        <v>2205639</v>
      </c>
      <c r="E7" s="10">
        <v>333887</v>
      </c>
      <c r="F7" s="11">
        <f>C7/B7</f>
        <v>0.1325280707723715</v>
      </c>
      <c r="G7" s="11">
        <f>IFERROR(E7/D7,0)</f>
        <v>0.1513788067766302</v>
      </c>
    </row>
    <row r="8" spans="1:7">
      <c r="A8" t="s">
        <v>66</v>
      </c>
      <c r="B8" s="10">
        <v>20267</v>
      </c>
      <c r="C8" s="10">
        <v>3383</v>
      </c>
      <c r="D8" s="10">
        <v>1111743</v>
      </c>
      <c r="E8" s="10">
        <v>148027</v>
      </c>
      <c r="F8" s="11">
        <f>C8/B8</f>
        <v>0.166921596684265</v>
      </c>
      <c r="G8" s="11">
        <f>IFERROR(E8/D8,0)</f>
        <v>0.1331485784034619</v>
      </c>
    </row>
    <row r="9" spans="1:7">
      <c r="A9" t="s">
        <v>83</v>
      </c>
      <c r="B9" s="10">
        <v>12318</v>
      </c>
      <c r="C9" s="10">
        <v>2531</v>
      </c>
      <c r="D9" s="10">
        <v>1822336</v>
      </c>
      <c r="E9" s="10">
        <v>327899</v>
      </c>
      <c r="F9" s="11">
        <f>C9/B9</f>
        <v>0.2054716674784867</v>
      </c>
      <c r="G9" s="11">
        <f>IFERROR(E9/D9,0)</f>
        <v>0.1799333383086324</v>
      </c>
    </row>
    <row r="10" spans="1:7">
      <c r="A10" t="s">
        <v>68</v>
      </c>
      <c r="B10" s="10">
        <v>10586</v>
      </c>
      <c r="C10" s="10">
        <v>1378</v>
      </c>
      <c r="D10" s="10">
        <v>302655</v>
      </c>
      <c r="E10" s="10">
        <v>47433</v>
      </c>
      <c r="F10" s="11">
        <f>C10/B10</f>
        <v>0.1301719251842055</v>
      </c>
      <c r="G10" s="11">
        <f>IFERROR(E10/D10,0)</f>
        <v>0.15672300143728</v>
      </c>
    </row>
    <row r="11" spans="1:7">
      <c r="A11" t="s">
        <v>70</v>
      </c>
      <c r="B11" s="10">
        <v>23031</v>
      </c>
      <c r="C11" s="10">
        <v>4665</v>
      </c>
      <c r="D11" s="10">
        <v>2006011</v>
      </c>
      <c r="E11" s="10">
        <v>284658</v>
      </c>
      <c r="F11" s="11">
        <f>C11/B11</f>
        <v>0.2025530806304546</v>
      </c>
      <c r="G11" s="11">
        <f>IFERROR(E11/D11,0)</f>
        <v>0.1419025120001834</v>
      </c>
    </row>
    <row r="12" spans="1:7">
      <c r="A12" t="s">
        <v>76</v>
      </c>
      <c r="B12" s="10">
        <v>30038</v>
      </c>
      <c r="C12" s="10">
        <v>2406</v>
      </c>
      <c r="D12" s="10">
        <v>937259</v>
      </c>
      <c r="E12" s="10">
        <v>47522</v>
      </c>
      <c r="F12" s="11">
        <f>C12/B12</f>
        <v>0.0800985418469938</v>
      </c>
      <c r="G12" s="11">
        <f>IFERROR(E12/D12,0)</f>
        <v>0.0507031674275733</v>
      </c>
    </row>
    <row r="16" spans="1:7" ht="32" customHeight="1">
      <c r="A16" s="9" t="s">
        <v>51</v>
      </c>
      <c r="B16" s="9" t="s">
        <v>125</v>
      </c>
      <c r="C16" s="9" t="s">
        <v>54</v>
      </c>
      <c r="D16" s="9" t="s">
        <v>198</v>
      </c>
      <c r="E16" s="9" t="s">
        <v>199</v>
      </c>
      <c r="F16" s="9" t="s">
        <v>200</v>
      </c>
    </row>
    <row r="17" spans="1:6">
      <c r="A17" t="s">
        <v>70</v>
      </c>
      <c r="B17" t="s">
        <v>130</v>
      </c>
      <c r="C17" s="10">
        <v>2990</v>
      </c>
      <c r="D17" s="10">
        <v>562</v>
      </c>
      <c r="E17" s="10">
        <v>320382</v>
      </c>
      <c r="F17" s="10">
        <v>46884</v>
      </c>
    </row>
    <row r="18" spans="1:6">
      <c r="A18" t="s">
        <v>70</v>
      </c>
      <c r="B18" t="s">
        <v>131</v>
      </c>
      <c r="C18" s="10">
        <v>2055</v>
      </c>
      <c r="D18" s="10">
        <v>662</v>
      </c>
      <c r="E18" s="10">
        <v>192631</v>
      </c>
      <c r="F18" s="10">
        <v>43629</v>
      </c>
    </row>
    <row r="19" spans="1:6">
      <c r="A19" t="s">
        <v>70</v>
      </c>
      <c r="B19" t="s">
        <v>129</v>
      </c>
      <c r="C19" s="10">
        <v>5047</v>
      </c>
      <c r="D19" s="10">
        <v>667</v>
      </c>
      <c r="E19" s="10">
        <v>510198</v>
      </c>
      <c r="F19" s="10">
        <v>53536</v>
      </c>
    </row>
    <row r="20" spans="1:6">
      <c r="A20" t="s">
        <v>70</v>
      </c>
      <c r="B20" t="s">
        <v>133</v>
      </c>
      <c r="C20" s="10">
        <v>2064</v>
      </c>
      <c r="D20" s="10">
        <v>556</v>
      </c>
      <c r="E20" s="10">
        <v>168552</v>
      </c>
      <c r="F20" s="10">
        <v>33458</v>
      </c>
    </row>
    <row r="21" spans="1:6">
      <c r="A21" t="s">
        <v>70</v>
      </c>
      <c r="B21" t="s">
        <v>132</v>
      </c>
      <c r="C21" s="10">
        <v>1153</v>
      </c>
      <c r="D21" s="10">
        <v>65</v>
      </c>
      <c r="E21" s="10">
        <v>15357</v>
      </c>
      <c r="F21" s="10">
        <v>699</v>
      </c>
    </row>
    <row r="22" spans="1:6">
      <c r="A22" t="s">
        <v>80</v>
      </c>
      <c r="B22" t="s">
        <v>133</v>
      </c>
      <c r="C22" s="10">
        <v>765</v>
      </c>
      <c r="D22" s="10">
        <v>0</v>
      </c>
      <c r="E22" s="10">
        <v>1139</v>
      </c>
      <c r="F22" s="10">
        <v>0</v>
      </c>
    </row>
    <row r="23" spans="1:6">
      <c r="A23" t="s">
        <v>80</v>
      </c>
      <c r="B23" t="s">
        <v>129</v>
      </c>
      <c r="C23" s="10">
        <v>1435</v>
      </c>
      <c r="D23" s="10">
        <v>0</v>
      </c>
      <c r="E23" s="10">
        <v>2123</v>
      </c>
      <c r="F23" s="10">
        <v>0</v>
      </c>
    </row>
    <row r="24" spans="1:6">
      <c r="A24" t="s">
        <v>80</v>
      </c>
      <c r="B24" t="s">
        <v>130</v>
      </c>
      <c r="C24" s="10">
        <v>653</v>
      </c>
      <c r="D24" s="10">
        <v>0</v>
      </c>
      <c r="E24" s="10">
        <v>2021</v>
      </c>
      <c r="F24" s="10">
        <v>0</v>
      </c>
    </row>
    <row r="25" spans="1:6">
      <c r="A25" t="s">
        <v>80</v>
      </c>
      <c r="B25" t="s">
        <v>131</v>
      </c>
      <c r="C25" s="10">
        <v>305</v>
      </c>
      <c r="D25" s="10">
        <v>0</v>
      </c>
      <c r="E25" s="10">
        <v>3889</v>
      </c>
      <c r="F25" s="10">
        <v>0</v>
      </c>
    </row>
    <row r="26" spans="1:6">
      <c r="A26" t="s">
        <v>61</v>
      </c>
      <c r="B26" t="s">
        <v>131</v>
      </c>
      <c r="C26" s="10">
        <v>797</v>
      </c>
      <c r="D26" s="10">
        <v>128</v>
      </c>
      <c r="E26" s="10">
        <v>110453</v>
      </c>
      <c r="F26" s="10">
        <v>6330</v>
      </c>
    </row>
    <row r="27" spans="1:6">
      <c r="A27" t="s">
        <v>61</v>
      </c>
      <c r="B27" t="s">
        <v>133</v>
      </c>
      <c r="C27" s="10">
        <v>3465</v>
      </c>
      <c r="D27" s="10">
        <v>610</v>
      </c>
      <c r="E27" s="10">
        <v>231001</v>
      </c>
      <c r="F27" s="10">
        <v>46576</v>
      </c>
    </row>
    <row r="28" spans="1:6">
      <c r="A28" t="s">
        <v>61</v>
      </c>
      <c r="B28" t="s">
        <v>129</v>
      </c>
      <c r="C28" s="10">
        <v>5710</v>
      </c>
      <c r="D28" s="10">
        <v>683</v>
      </c>
      <c r="E28" s="10">
        <v>726893</v>
      </c>
      <c r="F28" s="10">
        <v>111862</v>
      </c>
    </row>
    <row r="29" spans="1:6">
      <c r="A29" t="s">
        <v>61</v>
      </c>
      <c r="B29" t="s">
        <v>130</v>
      </c>
      <c r="C29" s="10">
        <v>3465</v>
      </c>
      <c r="D29" s="10">
        <v>620</v>
      </c>
      <c r="E29" s="10">
        <v>388147</v>
      </c>
      <c r="F29" s="10">
        <v>77974</v>
      </c>
    </row>
    <row r="30" spans="1:6">
      <c r="A30" t="s">
        <v>61</v>
      </c>
      <c r="B30" t="s">
        <v>132</v>
      </c>
      <c r="C30" s="10">
        <v>260</v>
      </c>
      <c r="D30" s="10">
        <v>7</v>
      </c>
      <c r="E30" s="10">
        <v>22427</v>
      </c>
      <c r="F30" s="10">
        <v>534</v>
      </c>
    </row>
    <row r="31" spans="1:6">
      <c r="A31" t="s">
        <v>83</v>
      </c>
      <c r="B31" t="s">
        <v>137</v>
      </c>
      <c r="C31" s="10">
        <v>1459</v>
      </c>
      <c r="D31" s="10">
        <v>215</v>
      </c>
      <c r="E31" s="10">
        <v>248270</v>
      </c>
      <c r="F31" s="10">
        <v>39657</v>
      </c>
    </row>
    <row r="32" spans="1:6">
      <c r="A32" t="s">
        <v>83</v>
      </c>
      <c r="B32" t="s">
        <v>128</v>
      </c>
      <c r="C32" s="10">
        <v>871</v>
      </c>
      <c r="D32" s="10">
        <v>374</v>
      </c>
      <c r="E32" s="10">
        <v>113017</v>
      </c>
      <c r="F32" s="10">
        <v>35862</v>
      </c>
    </row>
    <row r="33" spans="1:6">
      <c r="A33" t="s">
        <v>68</v>
      </c>
      <c r="B33" t="s">
        <v>129</v>
      </c>
      <c r="C33" s="10">
        <v>1851</v>
      </c>
      <c r="D33" s="10">
        <v>101</v>
      </c>
      <c r="E33" s="10">
        <v>48148</v>
      </c>
      <c r="F33" s="10">
        <v>3797</v>
      </c>
    </row>
    <row r="34" spans="1:6">
      <c r="A34" t="s">
        <v>68</v>
      </c>
      <c r="B34" t="s">
        <v>133</v>
      </c>
      <c r="C34" s="10">
        <v>1829</v>
      </c>
      <c r="D34" s="10">
        <v>281</v>
      </c>
      <c r="E34" s="10">
        <v>63707</v>
      </c>
      <c r="F34" s="10">
        <v>8709</v>
      </c>
    </row>
    <row r="35" spans="1:6">
      <c r="A35" t="s">
        <v>68</v>
      </c>
      <c r="B35" t="s">
        <v>130</v>
      </c>
      <c r="C35" s="10">
        <v>1149</v>
      </c>
      <c r="D35" s="10">
        <v>210</v>
      </c>
      <c r="E35" s="10">
        <v>26814</v>
      </c>
      <c r="F35" s="10">
        <v>6459</v>
      </c>
    </row>
    <row r="36" spans="1:6">
      <c r="A36" t="s">
        <v>68</v>
      </c>
      <c r="B36" t="s">
        <v>131</v>
      </c>
      <c r="C36" s="10">
        <v>345</v>
      </c>
      <c r="D36" s="10">
        <v>14</v>
      </c>
      <c r="E36" s="10">
        <v>12055</v>
      </c>
      <c r="F36" s="10">
        <v>945</v>
      </c>
    </row>
    <row r="37" spans="1:6">
      <c r="A37" t="s">
        <v>68</v>
      </c>
      <c r="B37" t="s">
        <v>132</v>
      </c>
      <c r="C37" s="10">
        <v>33</v>
      </c>
      <c r="D37" s="10">
        <v>8</v>
      </c>
      <c r="E37" s="10">
        <v>1173</v>
      </c>
      <c r="F37" s="10">
        <v>725</v>
      </c>
    </row>
    <row r="38" spans="1:6">
      <c r="A38" t="s">
        <v>76</v>
      </c>
      <c r="B38" t="s">
        <v>137</v>
      </c>
      <c r="C38" s="10">
        <v>3004</v>
      </c>
      <c r="D38" s="10">
        <v>207</v>
      </c>
      <c r="E38" s="10">
        <v>129899</v>
      </c>
      <c r="F38" s="10">
        <v>2212</v>
      </c>
    </row>
    <row r="39" spans="1:6">
      <c r="A39" t="s">
        <v>76</v>
      </c>
      <c r="B39" t="s">
        <v>128</v>
      </c>
      <c r="C39" s="10">
        <v>3287</v>
      </c>
      <c r="D39" s="10">
        <v>270</v>
      </c>
      <c r="E39" s="10">
        <v>75432</v>
      </c>
      <c r="F39" s="10">
        <v>4178</v>
      </c>
    </row>
    <row r="40" spans="1:6">
      <c r="A40" t="s">
        <v>73</v>
      </c>
      <c r="B40" t="s">
        <v>129</v>
      </c>
      <c r="C40" s="10">
        <v>5637</v>
      </c>
      <c r="D40" s="10">
        <v>552</v>
      </c>
      <c r="E40" s="10">
        <v>603192</v>
      </c>
      <c r="F40" s="10">
        <v>57330</v>
      </c>
    </row>
    <row r="41" spans="1:6">
      <c r="A41" t="s">
        <v>73</v>
      </c>
      <c r="B41" t="s">
        <v>131</v>
      </c>
      <c r="C41" s="10">
        <v>2847</v>
      </c>
      <c r="D41" s="10">
        <v>512</v>
      </c>
      <c r="E41" s="10">
        <v>306032</v>
      </c>
      <c r="F41" s="10">
        <v>70740</v>
      </c>
    </row>
    <row r="42" spans="1:6">
      <c r="A42" t="s">
        <v>73</v>
      </c>
      <c r="B42" t="s">
        <v>133</v>
      </c>
      <c r="C42" s="10">
        <v>2077</v>
      </c>
      <c r="D42" s="10">
        <v>275</v>
      </c>
      <c r="E42" s="10">
        <v>167500</v>
      </c>
      <c r="F42" s="10">
        <v>25509</v>
      </c>
    </row>
    <row r="43" spans="1:6">
      <c r="A43" t="s">
        <v>73</v>
      </c>
      <c r="B43" t="s">
        <v>130</v>
      </c>
      <c r="C43" s="10">
        <v>3105</v>
      </c>
      <c r="D43" s="10">
        <v>405</v>
      </c>
      <c r="E43" s="10">
        <v>295871</v>
      </c>
      <c r="F43" s="10">
        <v>48802</v>
      </c>
    </row>
    <row r="44" spans="1:6">
      <c r="A44" t="s">
        <v>73</v>
      </c>
      <c r="B44" t="s">
        <v>132</v>
      </c>
      <c r="C44" s="10">
        <v>11</v>
      </c>
      <c r="D44" s="10">
        <v>3</v>
      </c>
      <c r="E44" s="10">
        <v>1059</v>
      </c>
      <c r="F44" s="10">
        <v>219</v>
      </c>
    </row>
    <row r="45" spans="1:6">
      <c r="A45" t="s">
        <v>66</v>
      </c>
      <c r="B45" t="s">
        <v>129</v>
      </c>
      <c r="C45" s="10">
        <v>4418</v>
      </c>
      <c r="D45" s="10">
        <v>632</v>
      </c>
      <c r="E45" s="10">
        <v>246844</v>
      </c>
      <c r="F45" s="10">
        <v>27422</v>
      </c>
    </row>
    <row r="46" spans="1:6">
      <c r="A46" t="s">
        <v>66</v>
      </c>
      <c r="B46" t="s">
        <v>130</v>
      </c>
      <c r="C46" s="10">
        <v>2896</v>
      </c>
      <c r="D46" s="10">
        <v>566</v>
      </c>
      <c r="E46" s="10">
        <v>162426</v>
      </c>
      <c r="F46" s="10">
        <v>29879</v>
      </c>
    </row>
    <row r="47" spans="1:6">
      <c r="A47" t="s">
        <v>66</v>
      </c>
      <c r="B47" t="s">
        <v>133</v>
      </c>
      <c r="C47" s="10">
        <v>2676</v>
      </c>
      <c r="D47" s="10">
        <v>511</v>
      </c>
      <c r="E47" s="10">
        <v>131509</v>
      </c>
      <c r="F47" s="10">
        <v>18992</v>
      </c>
    </row>
    <row r="48" spans="1:6">
      <c r="A48" t="s">
        <v>66</v>
      </c>
      <c r="B48" t="s">
        <v>131</v>
      </c>
      <c r="C48" s="10">
        <v>673</v>
      </c>
      <c r="D48" s="10">
        <v>118</v>
      </c>
      <c r="E48" s="10">
        <v>47275</v>
      </c>
      <c r="F48" s="10">
        <v>4307</v>
      </c>
    </row>
    <row r="49" spans="1:6">
      <c r="A49" t="s">
        <v>66</v>
      </c>
      <c r="B49" t="s">
        <v>132</v>
      </c>
      <c r="C49" s="10">
        <v>98</v>
      </c>
      <c r="D49" s="10">
        <v>7</v>
      </c>
      <c r="E49" s="10">
        <v>6056</v>
      </c>
      <c r="F49" s="10">
        <v>367</v>
      </c>
    </row>
    <row r="50" spans="1:6">
      <c r="A50" t="s">
        <v>83</v>
      </c>
      <c r="B50" t="s">
        <v>136</v>
      </c>
      <c r="C50" s="10">
        <v>1681</v>
      </c>
      <c r="D50" s="10">
        <v>346</v>
      </c>
      <c r="E50" s="10">
        <v>212044</v>
      </c>
      <c r="F50" s="10">
        <v>34395</v>
      </c>
    </row>
    <row r="51" spans="1:6">
      <c r="A51" t="s">
        <v>83</v>
      </c>
      <c r="B51" t="s">
        <v>135</v>
      </c>
      <c r="C51" s="10">
        <v>1936</v>
      </c>
      <c r="D51" s="10">
        <v>393</v>
      </c>
      <c r="E51" s="10">
        <v>297611</v>
      </c>
      <c r="F51" s="10">
        <v>59896</v>
      </c>
    </row>
    <row r="52" spans="1:6">
      <c r="A52" t="s">
        <v>76</v>
      </c>
      <c r="B52" t="s">
        <v>135</v>
      </c>
      <c r="C52" s="10">
        <v>3858</v>
      </c>
      <c r="D52" s="10">
        <v>333</v>
      </c>
      <c r="E52" s="10">
        <v>103538</v>
      </c>
      <c r="F52" s="10">
        <v>6832</v>
      </c>
    </row>
    <row r="53" spans="1:6">
      <c r="A53" t="s">
        <v>76</v>
      </c>
      <c r="B53" t="s">
        <v>136</v>
      </c>
      <c r="C53" s="10">
        <v>3493</v>
      </c>
      <c r="D53" s="10">
        <v>312</v>
      </c>
      <c r="E53" s="10">
        <v>79107</v>
      </c>
      <c r="F53" s="10">
        <v>3177</v>
      </c>
    </row>
    <row r="54" spans="1:6">
      <c r="A54" t="s">
        <v>70</v>
      </c>
      <c r="B54" t="s">
        <v>128</v>
      </c>
      <c r="C54" s="10">
        <v>1041</v>
      </c>
      <c r="D54" s="10">
        <v>249</v>
      </c>
      <c r="E54" s="10">
        <v>81426</v>
      </c>
      <c r="F54" s="10">
        <v>8779</v>
      </c>
    </row>
    <row r="55" spans="1:6">
      <c r="A55" t="s">
        <v>70</v>
      </c>
      <c r="B55" t="s">
        <v>137</v>
      </c>
      <c r="C55" s="10">
        <v>2333</v>
      </c>
      <c r="D55" s="10">
        <v>444</v>
      </c>
      <c r="E55" s="10">
        <v>210531</v>
      </c>
      <c r="F55" s="10">
        <v>22102</v>
      </c>
    </row>
    <row r="56" spans="1:6">
      <c r="A56" t="s">
        <v>80</v>
      </c>
      <c r="B56" t="s">
        <v>128</v>
      </c>
      <c r="C56" s="10">
        <v>567</v>
      </c>
      <c r="D56" s="10">
        <v>0</v>
      </c>
      <c r="E56" s="10">
        <v>4776</v>
      </c>
      <c r="F56" s="10">
        <v>0</v>
      </c>
    </row>
    <row r="57" spans="1:6">
      <c r="A57" t="s">
        <v>80</v>
      </c>
      <c r="B57" t="s">
        <v>137</v>
      </c>
      <c r="C57" s="10">
        <v>756</v>
      </c>
      <c r="D57" s="10">
        <v>0</v>
      </c>
      <c r="E57" s="10">
        <v>2108</v>
      </c>
      <c r="F57" s="10">
        <v>0</v>
      </c>
    </row>
    <row r="58" spans="1:6">
      <c r="A58" t="s">
        <v>61</v>
      </c>
      <c r="B58" t="s">
        <v>137</v>
      </c>
      <c r="C58" s="10">
        <v>2681</v>
      </c>
      <c r="D58" s="10">
        <v>236</v>
      </c>
      <c r="E58" s="10">
        <v>309478</v>
      </c>
      <c r="F58" s="10">
        <v>35736</v>
      </c>
    </row>
    <row r="59" spans="1:6">
      <c r="A59" t="s">
        <v>61</v>
      </c>
      <c r="B59" t="s">
        <v>128</v>
      </c>
      <c r="C59" s="10">
        <v>1736</v>
      </c>
      <c r="D59" s="10">
        <v>275</v>
      </c>
      <c r="E59" s="10">
        <v>152168</v>
      </c>
      <c r="F59" s="10">
        <v>26223</v>
      </c>
    </row>
    <row r="60" spans="1:6">
      <c r="A60" t="s">
        <v>73</v>
      </c>
      <c r="B60" t="s">
        <v>135</v>
      </c>
      <c r="C60" s="10">
        <v>3404</v>
      </c>
      <c r="D60" s="10">
        <v>399</v>
      </c>
      <c r="E60" s="10">
        <v>346258</v>
      </c>
      <c r="F60" s="10">
        <v>60141</v>
      </c>
    </row>
    <row r="61" spans="1:6">
      <c r="A61" t="s">
        <v>73</v>
      </c>
      <c r="B61" t="s">
        <v>136</v>
      </c>
      <c r="C61" s="10">
        <v>2468</v>
      </c>
      <c r="D61" s="10">
        <v>293</v>
      </c>
      <c r="E61" s="10">
        <v>200454</v>
      </c>
      <c r="F61" s="10">
        <v>32952</v>
      </c>
    </row>
    <row r="62" spans="1:6">
      <c r="A62" t="s">
        <v>66</v>
      </c>
      <c r="B62" t="s">
        <v>135</v>
      </c>
      <c r="C62" s="10">
        <v>3353</v>
      </c>
      <c r="D62" s="10">
        <v>512</v>
      </c>
      <c r="E62" s="10">
        <v>202417</v>
      </c>
      <c r="F62" s="10">
        <v>18155</v>
      </c>
    </row>
    <row r="63" spans="1:6">
      <c r="A63" t="s">
        <v>66</v>
      </c>
      <c r="B63" t="s">
        <v>136</v>
      </c>
      <c r="C63" s="10">
        <v>2660</v>
      </c>
      <c r="D63" s="10">
        <v>606</v>
      </c>
      <c r="E63" s="10">
        <v>136891</v>
      </c>
      <c r="F63" s="10">
        <v>27555</v>
      </c>
    </row>
    <row r="64" spans="1:6">
      <c r="A64" t="s">
        <v>83</v>
      </c>
      <c r="B64" t="s">
        <v>130</v>
      </c>
      <c r="C64" s="10">
        <v>1847</v>
      </c>
      <c r="D64" s="10">
        <v>391</v>
      </c>
      <c r="E64" s="10">
        <v>279301</v>
      </c>
      <c r="F64" s="10">
        <v>44452</v>
      </c>
    </row>
    <row r="65" spans="1:6">
      <c r="A65" t="s">
        <v>83</v>
      </c>
      <c r="B65" t="s">
        <v>129</v>
      </c>
      <c r="C65" s="10">
        <v>2759</v>
      </c>
      <c r="D65" s="10">
        <v>367</v>
      </c>
      <c r="E65" s="10">
        <v>434169</v>
      </c>
      <c r="F65" s="10">
        <v>53235</v>
      </c>
    </row>
    <row r="66" spans="1:6">
      <c r="A66" t="s">
        <v>83</v>
      </c>
      <c r="B66" t="s">
        <v>133</v>
      </c>
      <c r="C66" s="10">
        <v>1357</v>
      </c>
      <c r="D66" s="10">
        <v>356</v>
      </c>
      <c r="E66" s="10">
        <v>179848</v>
      </c>
      <c r="F66" s="10">
        <v>49831</v>
      </c>
    </row>
    <row r="67" spans="1:6">
      <c r="A67" t="s">
        <v>83</v>
      </c>
      <c r="B67" t="s">
        <v>131</v>
      </c>
      <c r="C67" s="10">
        <v>400</v>
      </c>
      <c r="D67" s="10">
        <v>86</v>
      </c>
      <c r="E67" s="10">
        <v>57127</v>
      </c>
      <c r="F67" s="10">
        <v>10149</v>
      </c>
    </row>
    <row r="68" spans="1:6">
      <c r="A68" t="s">
        <v>83</v>
      </c>
      <c r="B68" t="s">
        <v>132</v>
      </c>
      <c r="C68" s="10">
        <v>8</v>
      </c>
      <c r="D68" s="10">
        <v>3</v>
      </c>
      <c r="E68" s="10">
        <v>949</v>
      </c>
      <c r="F68" s="10">
        <v>422</v>
      </c>
    </row>
    <row r="69" spans="1:6">
      <c r="A69" t="s">
        <v>68</v>
      </c>
      <c r="B69" t="s">
        <v>128</v>
      </c>
      <c r="C69" s="10">
        <v>1050</v>
      </c>
      <c r="D69" s="10">
        <v>428</v>
      </c>
      <c r="E69" s="10">
        <v>29606</v>
      </c>
      <c r="F69" s="10">
        <v>8524</v>
      </c>
    </row>
    <row r="70" spans="1:6">
      <c r="A70" t="s">
        <v>68</v>
      </c>
      <c r="B70" t="s">
        <v>137</v>
      </c>
      <c r="C70" s="10">
        <v>963</v>
      </c>
      <c r="D70" s="10">
        <v>72</v>
      </c>
      <c r="E70" s="10">
        <v>17727</v>
      </c>
      <c r="F70" s="10">
        <v>3922</v>
      </c>
    </row>
    <row r="71" spans="1:6">
      <c r="A71" t="s">
        <v>76</v>
      </c>
      <c r="B71" t="s">
        <v>133</v>
      </c>
      <c r="C71" s="10">
        <v>2892</v>
      </c>
      <c r="D71" s="10">
        <v>379</v>
      </c>
      <c r="E71" s="10">
        <v>83568</v>
      </c>
      <c r="F71" s="10">
        <v>11748</v>
      </c>
    </row>
    <row r="72" spans="1:6">
      <c r="A72" t="s">
        <v>76</v>
      </c>
      <c r="B72" t="s">
        <v>129</v>
      </c>
      <c r="C72" s="10">
        <v>7413</v>
      </c>
      <c r="D72" s="10">
        <v>394</v>
      </c>
      <c r="E72" s="10">
        <v>228430</v>
      </c>
      <c r="F72" s="10">
        <v>6415</v>
      </c>
    </row>
    <row r="73" spans="1:6">
      <c r="A73" t="s">
        <v>76</v>
      </c>
      <c r="B73" t="s">
        <v>130</v>
      </c>
      <c r="C73" s="10">
        <v>4532</v>
      </c>
      <c r="D73" s="10">
        <v>418</v>
      </c>
      <c r="E73" s="10">
        <v>177613</v>
      </c>
      <c r="F73" s="10">
        <v>9235</v>
      </c>
    </row>
    <row r="74" spans="1:6">
      <c r="A74" t="s">
        <v>76</v>
      </c>
      <c r="B74" t="s">
        <v>131</v>
      </c>
      <c r="C74" s="10">
        <v>1489</v>
      </c>
      <c r="D74" s="10">
        <v>90</v>
      </c>
      <c r="E74" s="10">
        <v>59372</v>
      </c>
      <c r="F74" s="10">
        <v>3725</v>
      </c>
    </row>
    <row r="75" spans="1:6">
      <c r="A75" t="s">
        <v>76</v>
      </c>
      <c r="B75" t="s">
        <v>132</v>
      </c>
      <c r="C75" s="10">
        <v>70</v>
      </c>
      <c r="D75" s="10">
        <v>3</v>
      </c>
      <c r="E75" s="10">
        <v>300</v>
      </c>
      <c r="F75" s="10">
        <v>0</v>
      </c>
    </row>
    <row r="76" spans="1:6">
      <c r="A76" t="s">
        <v>70</v>
      </c>
      <c r="B76" t="s">
        <v>135</v>
      </c>
      <c r="C76" s="10">
        <v>3775</v>
      </c>
      <c r="D76" s="10">
        <v>827</v>
      </c>
      <c r="E76" s="10">
        <v>305528</v>
      </c>
      <c r="F76" s="10">
        <v>41733</v>
      </c>
    </row>
    <row r="77" spans="1:6">
      <c r="A77" t="s">
        <v>70</v>
      </c>
      <c r="B77" t="s">
        <v>136</v>
      </c>
      <c r="C77" s="10">
        <v>2573</v>
      </c>
      <c r="D77" s="10">
        <v>633</v>
      </c>
      <c r="E77" s="10">
        <v>201406</v>
      </c>
      <c r="F77" s="10">
        <v>33838</v>
      </c>
    </row>
    <row r="78" spans="1:6">
      <c r="A78" t="s">
        <v>80</v>
      </c>
      <c r="B78" t="s">
        <v>135</v>
      </c>
      <c r="C78" s="10">
        <v>1953</v>
      </c>
      <c r="D78" s="10">
        <v>0</v>
      </c>
      <c r="E78" s="10">
        <v>16155</v>
      </c>
      <c r="F78" s="10">
        <v>0</v>
      </c>
    </row>
    <row r="79" spans="1:6">
      <c r="A79" t="s">
        <v>80</v>
      </c>
      <c r="B79" t="s">
        <v>136</v>
      </c>
      <c r="C79" s="10">
        <v>1069</v>
      </c>
      <c r="D79" s="10">
        <v>0</v>
      </c>
      <c r="E79" s="10">
        <v>5408</v>
      </c>
      <c r="F79" s="10">
        <v>0</v>
      </c>
    </row>
    <row r="80" spans="1:6">
      <c r="A80" t="s">
        <v>61</v>
      </c>
      <c r="B80" t="s">
        <v>136</v>
      </c>
      <c r="C80" s="10">
        <v>3448</v>
      </c>
      <c r="D80" s="10">
        <v>702</v>
      </c>
      <c r="E80" s="10">
        <v>333379</v>
      </c>
      <c r="F80" s="10">
        <v>84393</v>
      </c>
    </row>
    <row r="81" spans="1:6">
      <c r="A81" t="s">
        <v>61</v>
      </c>
      <c r="B81" t="s">
        <v>135</v>
      </c>
      <c r="C81" s="10">
        <v>4029</v>
      </c>
      <c r="D81" s="10">
        <v>622</v>
      </c>
      <c r="E81" s="10">
        <v>429428</v>
      </c>
      <c r="F81" s="10">
        <v>77949</v>
      </c>
    </row>
    <row r="82" spans="1:6">
      <c r="A82" t="s">
        <v>73</v>
      </c>
      <c r="B82" t="s">
        <v>137</v>
      </c>
      <c r="C82" s="10">
        <v>2087</v>
      </c>
      <c r="D82" s="10">
        <v>251</v>
      </c>
      <c r="E82" s="10">
        <v>197073</v>
      </c>
      <c r="F82" s="10">
        <v>26358</v>
      </c>
    </row>
    <row r="83" spans="1:6">
      <c r="A83" t="s">
        <v>73</v>
      </c>
      <c r="B83" t="s">
        <v>128</v>
      </c>
      <c r="C83" s="10">
        <v>1876</v>
      </c>
      <c r="D83" s="10">
        <v>426</v>
      </c>
      <c r="E83" s="10">
        <v>88200</v>
      </c>
      <c r="F83" s="10">
        <v>11836</v>
      </c>
    </row>
    <row r="84" spans="1:6">
      <c r="A84" t="s">
        <v>66</v>
      </c>
      <c r="B84" t="s">
        <v>137</v>
      </c>
      <c r="C84" s="10">
        <v>2114</v>
      </c>
      <c r="D84" s="10">
        <v>195</v>
      </c>
      <c r="E84" s="10">
        <v>111228</v>
      </c>
      <c r="F84" s="10">
        <v>9361</v>
      </c>
    </row>
    <row r="85" spans="1:6">
      <c r="A85" t="s">
        <v>66</v>
      </c>
      <c r="B85" t="s">
        <v>128</v>
      </c>
      <c r="C85" s="10">
        <v>1379</v>
      </c>
      <c r="D85" s="10">
        <v>236</v>
      </c>
      <c r="E85" s="10">
        <v>67097</v>
      </c>
      <c r="F85" s="10">
        <v>11989</v>
      </c>
    </row>
    <row r="86" spans="1:6">
      <c r="A86" t="s">
        <v>68</v>
      </c>
      <c r="B86" t="s">
        <v>135</v>
      </c>
      <c r="C86" s="10">
        <v>2193</v>
      </c>
      <c r="D86" s="10">
        <v>163</v>
      </c>
      <c r="E86" s="10">
        <v>69556</v>
      </c>
      <c r="F86" s="10">
        <v>9162</v>
      </c>
    </row>
    <row r="87" spans="1:6">
      <c r="A87" t="s">
        <v>68</v>
      </c>
      <c r="B87" t="s">
        <v>136</v>
      </c>
      <c r="C87" s="10">
        <v>1173</v>
      </c>
      <c r="D87" s="10">
        <v>101</v>
      </c>
      <c r="E87" s="10">
        <v>33869</v>
      </c>
      <c r="F87" s="10">
        <v>5190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K30"/>
  <sheetViews>
    <sheetView showGridLines="0" workbookViewId="0"/>
  </sheetViews>
  <sheetFormatPr defaultRowHeight="15"/>
  <cols>
    <col min="1" max="11" width="14.7109375" customWidth="1"/>
  </cols>
  <sheetData>
    <row r="1" spans="1:11">
      <c r="A1" s="1" t="s">
        <v>203</v>
      </c>
    </row>
    <row r="2" spans="1:11">
      <c r="A2" s="2" t="s">
        <v>204</v>
      </c>
    </row>
    <row r="4" spans="1:11" ht="32" customHeight="1">
      <c r="A4" s="9" t="s">
        <v>89</v>
      </c>
      <c r="B4" s="9" t="s">
        <v>61</v>
      </c>
      <c r="C4" s="9" t="s">
        <v>66</v>
      </c>
      <c r="D4" s="9" t="s">
        <v>73</v>
      </c>
      <c r="E4" s="9" t="s">
        <v>76</v>
      </c>
      <c r="F4" s="9" t="s">
        <v>70</v>
      </c>
      <c r="G4" s="9" t="s">
        <v>68</v>
      </c>
      <c r="H4" s="9" t="s">
        <v>80</v>
      </c>
      <c r="I4" s="9" t="s">
        <v>83</v>
      </c>
      <c r="J4" s="9" t="s">
        <v>205</v>
      </c>
      <c r="K4" s="9" t="s">
        <v>206</v>
      </c>
    </row>
    <row r="5" spans="1:11">
      <c r="A5" s="13">
        <v>45505</v>
      </c>
      <c r="B5" s="12">
        <v>100</v>
      </c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</row>
    <row r="6" spans="1:11">
      <c r="A6" s="13">
        <v>45536</v>
      </c>
      <c r="B6" s="12">
        <v>101.0112440613914</v>
      </c>
      <c r="C6" s="12">
        <v>99.88356023125466</v>
      </c>
      <c r="D6" s="12">
        <v>100.0012788557645</v>
      </c>
      <c r="E6" s="12">
        <v>99.98997361450238</v>
      </c>
      <c r="F6" s="12">
        <v>100.119914375965</v>
      </c>
      <c r="G6" s="12">
        <v>99.77109939443186</v>
      </c>
      <c r="H6" s="12">
        <v>100.1930710616851</v>
      </c>
      <c r="I6" s="12"/>
      <c r="J6" s="12">
        <v>99.89517819706498</v>
      </c>
      <c r="K6" s="12">
        <v>99.89344698987748</v>
      </c>
    </row>
    <row r="7" spans="1:11">
      <c r="A7" s="13">
        <v>45566</v>
      </c>
      <c r="B7" s="12">
        <v>101.111997459011</v>
      </c>
      <c r="C7" s="12">
        <v>99.55974147586284</v>
      </c>
      <c r="D7" s="12">
        <v>100.0265725389454</v>
      </c>
      <c r="E7" s="12">
        <v>100.0289195991237</v>
      </c>
      <c r="F7" s="12">
        <v>100.276178667979</v>
      </c>
      <c r="G7" s="12">
        <v>99.63615041891271</v>
      </c>
      <c r="H7" s="12">
        <v>100.3291449986018</v>
      </c>
      <c r="I7" s="12">
        <v>103.1190892982414</v>
      </c>
      <c r="J7" s="12">
        <v>100.0524109014675</v>
      </c>
      <c r="K7" s="12">
        <v>99.8401704848162</v>
      </c>
    </row>
    <row r="8" spans="1:11">
      <c r="A8" s="13">
        <v>45597</v>
      </c>
      <c r="B8" s="12">
        <v>100.8751861079937</v>
      </c>
      <c r="C8" s="12">
        <v>99.48414525931769</v>
      </c>
      <c r="D8" s="12">
        <v>100.1026800586103</v>
      </c>
      <c r="E8" s="12">
        <v>100.1693020106006</v>
      </c>
      <c r="F8" s="12">
        <v>100.3743207109589</v>
      </c>
      <c r="G8" s="12">
        <v>100.6796375452768</v>
      </c>
      <c r="H8" s="12">
        <v>99.888565487498</v>
      </c>
      <c r="I8" s="12">
        <v>103.5426152807565</v>
      </c>
      <c r="J8" s="12">
        <v>100.62893081761</v>
      </c>
      <c r="K8" s="12">
        <v>100.4794885455514</v>
      </c>
    </row>
    <row r="9" spans="1:11">
      <c r="A9" s="13">
        <v>45627</v>
      </c>
      <c r="B9" s="12">
        <v>101.494427465716</v>
      </c>
      <c r="C9" s="12">
        <v>99.26634146456644</v>
      </c>
      <c r="D9" s="12">
        <v>100.1971914225853</v>
      </c>
      <c r="E9" s="12">
        <v>100.0868383914016</v>
      </c>
      <c r="F9" s="12">
        <v>100.3186094911483</v>
      </c>
      <c r="G9" s="12">
        <v>100.6616690692848</v>
      </c>
      <c r="H9" s="12">
        <v>99.20256151239118</v>
      </c>
      <c r="I9" s="12">
        <v>103.6117305039686</v>
      </c>
      <c r="J9" s="12">
        <v>100.104821802935</v>
      </c>
      <c r="K9" s="12">
        <v>100.1598295151838</v>
      </c>
    </row>
    <row r="10" spans="1:11">
      <c r="A10" s="13">
        <v>45658</v>
      </c>
      <c r="B10" s="12">
        <v>101.5683913954122</v>
      </c>
      <c r="C10" s="12">
        <v>100.9569699474755</v>
      </c>
      <c r="D10" s="12">
        <v>99.9991219491128</v>
      </c>
      <c r="E10" s="12">
        <v>100.2656921828559</v>
      </c>
      <c r="F10" s="12">
        <v>100.4466292114898</v>
      </c>
      <c r="G10" s="12">
        <v>96.52702294725066</v>
      </c>
      <c r="H10" s="12">
        <v>99.21261865173314</v>
      </c>
      <c r="I10" s="12">
        <v>103.7597926267679</v>
      </c>
      <c r="J10" s="12">
        <v>100.7861635220126</v>
      </c>
      <c r="K10" s="12">
        <v>100.9589770911028</v>
      </c>
    </row>
    <row r="11" spans="1:11">
      <c r="A11" s="13">
        <v>45689</v>
      </c>
      <c r="B11" s="12">
        <v>102.2085383086171</v>
      </c>
      <c r="C11" s="12">
        <v>101.5337578987547</v>
      </c>
      <c r="D11" s="12">
        <v>100.387089201544</v>
      </c>
      <c r="E11" s="12">
        <v>101.2578014182792</v>
      </c>
      <c r="F11" s="12">
        <v>100.6809652594276</v>
      </c>
      <c r="G11" s="12">
        <v>96.248917032714</v>
      </c>
      <c r="H11" s="12">
        <v>99.43416546557438</v>
      </c>
      <c r="I11" s="12">
        <v>104.7668746603834</v>
      </c>
      <c r="J11" s="12">
        <v>101.3102725366876</v>
      </c>
      <c r="K11" s="12">
        <v>101.6515716568993</v>
      </c>
    </row>
    <row r="12" spans="1:11">
      <c r="A12" s="13">
        <v>45717</v>
      </c>
      <c r="B12" s="12">
        <v>102.4803948408489</v>
      </c>
      <c r="C12" s="12">
        <v>101.0612807140378</v>
      </c>
      <c r="D12" s="12">
        <v>100.6533841829368</v>
      </c>
      <c r="E12" s="12">
        <v>101.0215007797867</v>
      </c>
      <c r="F12" s="12">
        <v>101.1791832317097</v>
      </c>
      <c r="G12" s="12">
        <v>96.13792811969242</v>
      </c>
      <c r="H12" s="12">
        <v>99.70992782648024</v>
      </c>
      <c r="I12" s="12">
        <v>104.9710980980932</v>
      </c>
      <c r="J12" s="12">
        <v>101.1530398322851</v>
      </c>
      <c r="K12" s="12">
        <v>101.7581246670218</v>
      </c>
    </row>
    <row r="13" spans="1:11">
      <c r="A13" s="13">
        <v>45748</v>
      </c>
      <c r="B13" s="12">
        <v>102.5096021317888</v>
      </c>
      <c r="C13" s="12">
        <v>102.2811179921547</v>
      </c>
      <c r="D13" s="12">
        <v>101.1326117543313</v>
      </c>
      <c r="E13" s="12">
        <v>100.4499484150738</v>
      </c>
      <c r="F13" s="12">
        <v>101.4293151529676</v>
      </c>
      <c r="G13" s="12">
        <v>96.1606681121917</v>
      </c>
      <c r="H13" s="12">
        <v>99.85142638868652</v>
      </c>
      <c r="I13" s="12">
        <v>105.2298639227719</v>
      </c>
      <c r="J13" s="12">
        <v>101.6771488469602</v>
      </c>
      <c r="K13" s="12">
        <v>102.0777836973895</v>
      </c>
    </row>
    <row r="14" spans="1:11">
      <c r="A14" s="13">
        <v>45778</v>
      </c>
      <c r="B14" s="12">
        <v>102.5133563410592</v>
      </c>
      <c r="C14" s="12">
        <v>102.6689237444049</v>
      </c>
      <c r="D14" s="12">
        <v>101.3656967136018</v>
      </c>
      <c r="E14" s="12">
        <v>100.4034514637531</v>
      </c>
      <c r="F14" s="12">
        <v>101.6199462965171</v>
      </c>
      <c r="G14" s="12">
        <v>96.28924920660792</v>
      </c>
      <c r="H14" s="12">
        <v>99.79997734354821</v>
      </c>
      <c r="I14" s="12">
        <v>105.5402292645296</v>
      </c>
      <c r="J14" s="12">
        <v>102.3584905660377</v>
      </c>
      <c r="K14" s="12">
        <v>102.6638252530634</v>
      </c>
    </row>
    <row r="15" spans="1:11">
      <c r="A15" s="13">
        <v>45809</v>
      </c>
      <c r="B15" s="12">
        <v>102.8421319565691</v>
      </c>
      <c r="C15" s="12">
        <v>102.4186056663575</v>
      </c>
      <c r="D15" s="12">
        <v>101.7567202830935</v>
      </c>
      <c r="E15" s="12">
        <v>100.965162679294</v>
      </c>
      <c r="F15" s="12">
        <v>101.9170604139355</v>
      </c>
      <c r="G15" s="12">
        <v>96.35064199115682</v>
      </c>
      <c r="H15" s="12">
        <v>99.67706451972091</v>
      </c>
      <c r="I15" s="12">
        <v>106.0921387662832</v>
      </c>
      <c r="J15" s="12">
        <v>102.5681341719077</v>
      </c>
      <c r="K15" s="12">
        <v>102.7171017581247</v>
      </c>
    </row>
    <row r="16" spans="1:11">
      <c r="A16" s="13">
        <v>45839</v>
      </c>
      <c r="B16" s="12">
        <v>102.8324391866139</v>
      </c>
      <c r="C16" s="12">
        <v>102.5070392253951</v>
      </c>
      <c r="D16" s="12">
        <v>102.1347696206483</v>
      </c>
      <c r="E16" s="12">
        <v>101.6013835722106</v>
      </c>
      <c r="F16" s="12">
        <v>102.4059232830236</v>
      </c>
      <c r="G16" s="12">
        <v>96.47890911925296</v>
      </c>
      <c r="H16" s="12">
        <v>99.749605511431</v>
      </c>
      <c r="I16" s="12">
        <v>106.2813216060621</v>
      </c>
      <c r="J16" s="12">
        <v>103.4067085953878</v>
      </c>
      <c r="K16" s="12">
        <v>103.569525839105</v>
      </c>
    </row>
    <row r="17" spans="1:11">
      <c r="A17" s="13">
        <v>45870</v>
      </c>
      <c r="B17" s="12">
        <v>102.706574270551</v>
      </c>
      <c r="C17" s="12">
        <v>102.467073034292</v>
      </c>
      <c r="D17" s="12">
        <v>102.2194968760175</v>
      </c>
      <c r="E17" s="12">
        <v>101.9897658642586</v>
      </c>
      <c r="F17" s="12">
        <v>102.7129542031152</v>
      </c>
      <c r="G17" s="12">
        <v>96.53391566652616</v>
      </c>
      <c r="H17" s="12">
        <v>99.4177632740836</v>
      </c>
      <c r="I17" s="12">
        <v>106.2514579562479</v>
      </c>
      <c r="J17" s="12">
        <v>103.1970649895178</v>
      </c>
      <c r="K17" s="12">
        <v>103.4629728289824</v>
      </c>
    </row>
    <row r="18" spans="1:11">
      <c r="A18" s="13">
        <v>45901</v>
      </c>
      <c r="B18" s="12">
        <v>103.1312140345752</v>
      </c>
      <c r="C18" s="12">
        <v>103.1608831083582</v>
      </c>
      <c r="D18" s="12">
        <v>101.1538169246675</v>
      </c>
      <c r="E18" s="12">
        <v>104.2931558891602</v>
      </c>
      <c r="F18" s="12">
        <v>102.9660937329974</v>
      </c>
      <c r="G18" s="12">
        <v>96.63820153906416</v>
      </c>
      <c r="H18" s="12">
        <v>99.76549487729839</v>
      </c>
      <c r="I18" s="12">
        <v>106.3401553442246</v>
      </c>
      <c r="J18" s="12">
        <v>103.4067085953878</v>
      </c>
      <c r="K18" s="12">
        <v>103.8891848694726</v>
      </c>
    </row>
    <row r="19" spans="1:11">
      <c r="A19" s="13">
        <v>45931</v>
      </c>
      <c r="B19" s="12">
        <v>103.2357339240098</v>
      </c>
      <c r="C19" s="12">
        <v>103.0068279474896</v>
      </c>
      <c r="D19" s="12">
        <v>101.2265289912333</v>
      </c>
      <c r="E19" s="12">
        <v>104.3203159263821</v>
      </c>
      <c r="F19" s="12">
        <v>103.0552572262501</v>
      </c>
      <c r="G19" s="12">
        <v>96.9841950743792</v>
      </c>
      <c r="H19" s="12">
        <v>100.2621658855768</v>
      </c>
      <c r="I19" s="12">
        <v>106.2341687676739</v>
      </c>
      <c r="J19" s="12">
        <v>102.9350104821803</v>
      </c>
      <c r="K19" s="12">
        <v>103.2498668087374</v>
      </c>
    </row>
    <row r="20" spans="1:11">
      <c r="A20" s="13">
        <v>45962</v>
      </c>
      <c r="B20" s="12">
        <v>103.2921115553696</v>
      </c>
      <c r="C20" s="12">
        <v>103.9781554721012</v>
      </c>
      <c r="D20" s="12">
        <v>102.6371917110003</v>
      </c>
      <c r="E20" s="12">
        <v>104.5227486135014</v>
      </c>
      <c r="F20" s="12">
        <v>103.7582268757922</v>
      </c>
      <c r="G20" s="12">
        <v>97.09515707063592</v>
      </c>
      <c r="H20" s="12">
        <v>100.4102545464517</v>
      </c>
      <c r="I20" s="12">
        <v>106.3434475158569</v>
      </c>
      <c r="J20" s="12">
        <v>104.769392033543</v>
      </c>
      <c r="K20" s="12">
        <v>105.167820990943</v>
      </c>
    </row>
    <row r="21" spans="1:11">
      <c r="A21" s="13">
        <v>45992</v>
      </c>
      <c r="B21" s="12">
        <v>102.9047752789554</v>
      </c>
      <c r="C21" s="12">
        <v>103.0991413453575</v>
      </c>
      <c r="D21" s="12">
        <v>102.7873736024175</v>
      </c>
      <c r="E21" s="12">
        <v>104.4791496928829</v>
      </c>
      <c r="F21" s="12">
        <v>104.057313347829</v>
      </c>
      <c r="G21" s="12">
        <v>97.082260935668</v>
      </c>
      <c r="H21" s="12">
        <v>100.4341096779702</v>
      </c>
      <c r="I21" s="12">
        <v>106.4204376814503</v>
      </c>
      <c r="J21" s="12">
        <v>104.9266247379455</v>
      </c>
      <c r="K21" s="12">
        <v>105.167820990943</v>
      </c>
    </row>
    <row r="22" spans="1:11">
      <c r="A22" s="13">
        <v>46023</v>
      </c>
      <c r="B22" s="12">
        <v>103.9562523654338</v>
      </c>
      <c r="C22" s="12">
        <v>103.8512106445022</v>
      </c>
      <c r="D22" s="12">
        <v>103.1301535262921</v>
      </c>
      <c r="E22" s="12">
        <v>104.3461262042531</v>
      </c>
      <c r="F22" s="12">
        <v>104.3385700028223</v>
      </c>
      <c r="G22" s="12">
        <v>97.09650904620716</v>
      </c>
      <c r="H22" s="12">
        <v>100.6389132218834</v>
      </c>
      <c r="I22" s="12">
        <v>106.5977523995608</v>
      </c>
      <c r="J22" s="12">
        <v>105.7127882599581</v>
      </c>
      <c r="K22" s="12">
        <v>105.8071390516782</v>
      </c>
    </row>
    <row r="23" spans="1:11">
      <c r="A23" s="13">
        <v>46054</v>
      </c>
      <c r="B23" s="12">
        <v>103.991998173834</v>
      </c>
      <c r="C23" s="12">
        <v>103.8609657164862</v>
      </c>
      <c r="D23" s="12">
        <v>103.9967517797584</v>
      </c>
      <c r="E23" s="12">
        <v>104.2047218485812</v>
      </c>
      <c r="F23" s="12">
        <v>104.6878597446977</v>
      </c>
      <c r="G23" s="12">
        <v>97.08073377442319</v>
      </c>
      <c r="H23" s="12">
        <v>100.5361701711617</v>
      </c>
      <c r="I23" s="12">
        <v>107.6252270580541</v>
      </c>
      <c r="J23" s="12">
        <v>105.4507337526205</v>
      </c>
      <c r="K23" s="12">
        <v>105.8071390516782</v>
      </c>
    </row>
    <row r="24" spans="1:11">
      <c r="A24" s="13">
        <v>46082</v>
      </c>
      <c r="B24" s="12">
        <v>104.2373689035508</v>
      </c>
      <c r="C24" s="12">
        <v>103.7364192404214</v>
      </c>
      <c r="D24" s="12">
        <v>104.787444549174</v>
      </c>
      <c r="E24" s="12">
        <v>104.1648329871589</v>
      </c>
      <c r="F24" s="12">
        <v>105.1965960711478</v>
      </c>
      <c r="G24" s="12">
        <v>97.07048552163155</v>
      </c>
      <c r="H24" s="12">
        <v>100.6530129333769</v>
      </c>
      <c r="I24" s="12">
        <v>107.8931086032261</v>
      </c>
      <c r="J24" s="12">
        <v>106.1844863731656</v>
      </c>
      <c r="K24" s="12">
        <v>106.2333510921684</v>
      </c>
    </row>
    <row r="25" spans="1:11">
      <c r="A25" s="13">
        <v>46113</v>
      </c>
      <c r="B25" s="12">
        <v>103.9524964374467</v>
      </c>
      <c r="C25" s="12">
        <v>104.1822956543811</v>
      </c>
      <c r="D25" s="12">
        <v>104.6883882766961</v>
      </c>
      <c r="E25" s="12">
        <v>103.8561900353855</v>
      </c>
      <c r="F25" s="12">
        <v>105.4463526935576</v>
      </c>
      <c r="G25" s="12">
        <v>97.22058081610392</v>
      </c>
      <c r="H25" s="12">
        <v>100.6896481537748</v>
      </c>
      <c r="I25" s="12">
        <v>107.9121271400278</v>
      </c>
      <c r="J25" s="12">
        <v>105.607966457023</v>
      </c>
      <c r="K25" s="12">
        <v>105.966968566862</v>
      </c>
    </row>
    <row r="26" spans="1:11">
      <c r="A26" s="13">
        <v>46143</v>
      </c>
      <c r="B26" s="12">
        <v>104.1533137288818</v>
      </c>
      <c r="C26" s="12">
        <v>104.3183166677635</v>
      </c>
      <c r="D26" s="12">
        <v>104.7857470999205</v>
      </c>
      <c r="E26" s="12">
        <v>103.7295223910009</v>
      </c>
      <c r="F26" s="12">
        <v>105.7872105439794</v>
      </c>
      <c r="G26" s="12">
        <v>97.30965037032584</v>
      </c>
      <c r="H26" s="12">
        <v>101.3015453895769</v>
      </c>
      <c r="I26" s="12">
        <v>107.8040678082877</v>
      </c>
      <c r="J26" s="12">
        <v>107.2851153039832</v>
      </c>
      <c r="K26" s="12">
        <v>107.0324986680874</v>
      </c>
    </row>
    <row r="27" spans="1:11">
      <c r="A27" s="13">
        <v>46174</v>
      </c>
      <c r="B27" s="12">
        <v>103.8723944706734</v>
      </c>
      <c r="C27" s="12">
        <v>104.3635379930073</v>
      </c>
      <c r="D27" s="12">
        <v>104.7506461576341</v>
      </c>
      <c r="E27" s="12">
        <v>103.3061461240779</v>
      </c>
      <c r="F27" s="12">
        <v>105.9873758501323</v>
      </c>
      <c r="G27" s="12">
        <v>97.19245962761325</v>
      </c>
      <c r="H27" s="12">
        <v>101.2990094869124</v>
      </c>
      <c r="I27" s="12">
        <v>100.1073297155621</v>
      </c>
      <c r="J27" s="12">
        <v>106.6561844863732</v>
      </c>
      <c r="K27" s="12">
        <v>106.7128396377198</v>
      </c>
    </row>
    <row r="28" spans="1:11">
      <c r="A28" s="13">
        <v>46204</v>
      </c>
      <c r="B28" s="12">
        <v>104.2598996949365</v>
      </c>
      <c r="C28" s="12">
        <v>104.4541924074898</v>
      </c>
      <c r="D28" s="12">
        <v>104.5555526130367</v>
      </c>
      <c r="E28" s="12">
        <v>103.0575020600762</v>
      </c>
      <c r="F28" s="12">
        <v>106.0433760777126</v>
      </c>
      <c r="G28" s="12">
        <v>97.11902895649476</v>
      </c>
      <c r="H28" s="12">
        <v>101.3568051976885</v>
      </c>
      <c r="I28" s="12">
        <v>100.788266475402</v>
      </c>
      <c r="J28" s="12">
        <v>106.3941299790356</v>
      </c>
      <c r="K28" s="12">
        <v>106.8193926478423</v>
      </c>
    </row>
    <row r="29" spans="1:11">
      <c r="A29" s="13">
        <v>46235</v>
      </c>
      <c r="B29" s="12">
        <v>104.2109853537182</v>
      </c>
      <c r="C29" s="12">
        <v>104.5022792857605</v>
      </c>
      <c r="D29" s="12">
        <v>104.8509487326978</v>
      </c>
      <c r="E29" s="12">
        <v>103.3292374008444</v>
      </c>
      <c r="F29" s="12">
        <v>106.1732540336568</v>
      </c>
      <c r="G29" s="12">
        <v>97.10686837239729</v>
      </c>
      <c r="H29" s="12">
        <v>101.3744387119626</v>
      </c>
      <c r="I29" s="12">
        <v>100.9233391194093</v>
      </c>
      <c r="J29" s="12">
        <v>106.0272536687631</v>
      </c>
      <c r="K29" s="12">
        <v>106.3399041022909</v>
      </c>
    </row>
    <row r="30" spans="1:11">
      <c r="A30" s="13">
        <v>46266</v>
      </c>
      <c r="B30" s="12">
        <v>104.0312178717581</v>
      </c>
      <c r="C30" s="12">
        <v>103.9208413363844</v>
      </c>
      <c r="D30" s="12">
        <v>104.975345441404</v>
      </c>
      <c r="E30" s="12">
        <v>103.4485346952468</v>
      </c>
      <c r="F30" s="12">
        <v>106.290006079576</v>
      </c>
      <c r="G30" s="12">
        <v>97.19400979612892</v>
      </c>
      <c r="H30" s="12">
        <v>101.2180067620292</v>
      </c>
      <c r="I30" s="12">
        <v>100.8929303511912</v>
      </c>
      <c r="J30" s="12"/>
      <c r="K30" s="12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56"/>
  <sheetViews>
    <sheetView showGridLines="0" workbookViewId="0"/>
  </sheetViews>
  <sheetFormatPr defaultRowHeight="15"/>
  <cols>
    <col min="1" max="1" width="11.7109375" customWidth="1"/>
    <col min="2" max="2" width="18.7109375" customWidth="1"/>
    <col min="3" max="3" width="44.7109375" customWidth="1"/>
    <col min="4" max="5" width="11.7109375" customWidth="1"/>
    <col min="8" max="8" width="44.7109375" customWidth="1"/>
    <col min="9" max="9" width="11.7109375" customWidth="1"/>
    <col min="10" max="10" width="14.7109375" customWidth="1"/>
    <col min="11" max="11" width="11.7109375" customWidth="1"/>
    <col min="12" max="12" width="26.7109375" customWidth="1"/>
  </cols>
  <sheetData>
    <row r="1" spans="1:12">
      <c r="A1" s="1" t="s">
        <v>207</v>
      </c>
    </row>
    <row r="2" spans="1:12">
      <c r="A2" s="2" t="s">
        <v>208</v>
      </c>
    </row>
    <row r="4" spans="1:12" ht="32" customHeight="1">
      <c r="A4" s="9" t="s">
        <v>89</v>
      </c>
      <c r="B4" s="9" t="s">
        <v>209</v>
      </c>
      <c r="C4" s="9" t="s">
        <v>210</v>
      </c>
      <c r="D4" s="9" t="s">
        <v>211</v>
      </c>
      <c r="E4" s="9" t="s">
        <v>212</v>
      </c>
      <c r="H4" s="3" t="s">
        <v>222</v>
      </c>
    </row>
    <row r="5" spans="1:12" ht="32" customHeight="1">
      <c r="A5" s="13">
        <v>43101</v>
      </c>
      <c r="B5" t="s">
        <v>213</v>
      </c>
      <c r="C5" t="s">
        <v>214</v>
      </c>
      <c r="D5" s="12">
        <v>145.5</v>
      </c>
      <c r="E5" s="11">
        <v>0.0210526315789474</v>
      </c>
      <c r="H5" s="9" t="s">
        <v>210</v>
      </c>
      <c r="I5" s="9" t="s">
        <v>223</v>
      </c>
      <c r="J5" s="9" t="s">
        <v>224</v>
      </c>
      <c r="K5" s="9" t="s">
        <v>225</v>
      </c>
      <c r="L5" s="9" t="s">
        <v>226</v>
      </c>
    </row>
    <row r="6" spans="1:12">
      <c r="A6" s="13">
        <v>43101</v>
      </c>
      <c r="B6" t="s">
        <v>215</v>
      </c>
      <c r="C6" t="s">
        <v>216</v>
      </c>
      <c r="D6" s="12">
        <v>135.3</v>
      </c>
      <c r="E6" s="11">
        <v>0.024224072672218</v>
      </c>
      <c r="H6" t="s">
        <v>216</v>
      </c>
      <c r="I6" s="12">
        <v>136.8</v>
      </c>
      <c r="J6" t="s">
        <v>227</v>
      </c>
      <c r="K6" s="12">
        <v>169.8</v>
      </c>
      <c r="L6" s="11">
        <v>0.2412280701754385</v>
      </c>
    </row>
    <row r="7" spans="1:12">
      <c r="A7" s="13">
        <v>43101</v>
      </c>
      <c r="B7" t="s">
        <v>213</v>
      </c>
      <c r="C7" t="s">
        <v>217</v>
      </c>
      <c r="D7" s="12">
        <v>138.1</v>
      </c>
      <c r="E7" s="11">
        <v>0.059049079754601</v>
      </c>
      <c r="H7" t="s">
        <v>218</v>
      </c>
      <c r="I7" s="12">
        <v>156.9</v>
      </c>
      <c r="J7" t="s">
        <v>227</v>
      </c>
      <c r="K7" s="12">
        <v>201.9</v>
      </c>
      <c r="L7" s="11">
        <v>0.2868068833652006</v>
      </c>
    </row>
    <row r="8" spans="1:12">
      <c r="A8" s="13">
        <v>43101</v>
      </c>
      <c r="B8" t="s">
        <v>213</v>
      </c>
      <c r="C8" t="s">
        <v>218</v>
      </c>
      <c r="D8" s="12">
        <v>156.1</v>
      </c>
      <c r="E8" s="11">
        <v>0.0156148340923878</v>
      </c>
      <c r="H8" t="s">
        <v>220</v>
      </c>
      <c r="I8" s="12">
        <v>138.8</v>
      </c>
      <c r="J8" t="s">
        <v>227</v>
      </c>
      <c r="K8" s="12">
        <v>178.4</v>
      </c>
      <c r="L8" s="11">
        <v>0.2853025936599422</v>
      </c>
    </row>
    <row r="9" spans="1:12">
      <c r="A9" s="13">
        <v>43101</v>
      </c>
      <c r="B9" t="s">
        <v>213</v>
      </c>
      <c r="C9" t="s">
        <v>219</v>
      </c>
      <c r="D9" s="12">
        <v>157.9</v>
      </c>
      <c r="E9" s="11">
        <v>0.0141297366730894</v>
      </c>
      <c r="H9" t="s">
        <v>214</v>
      </c>
      <c r="I9" s="12">
        <v>151.6</v>
      </c>
      <c r="J9" t="s">
        <v>227</v>
      </c>
      <c r="K9" s="12">
        <v>199.6</v>
      </c>
      <c r="L9" s="11">
        <v>0.316622691292876</v>
      </c>
    </row>
    <row r="10" spans="1:12">
      <c r="A10" s="13">
        <v>43101</v>
      </c>
      <c r="B10" t="s">
        <v>213</v>
      </c>
      <c r="C10" t="s">
        <v>216</v>
      </c>
      <c r="D10" s="12">
        <v>133.2</v>
      </c>
      <c r="E10" s="11">
        <v>0.0183486238532109</v>
      </c>
      <c r="H10" t="s">
        <v>217</v>
      </c>
      <c r="I10" s="12">
        <v>155.5</v>
      </c>
      <c r="J10" t="s">
        <v>227</v>
      </c>
      <c r="K10" s="12">
        <v>180.3</v>
      </c>
      <c r="L10" s="11">
        <v>0.1594855305466238</v>
      </c>
    </row>
    <row r="11" spans="1:12">
      <c r="A11" s="13">
        <v>43101</v>
      </c>
      <c r="B11" t="s">
        <v>213</v>
      </c>
      <c r="C11" t="s">
        <v>220</v>
      </c>
      <c r="D11" s="12">
        <v>134.1</v>
      </c>
      <c r="E11" s="11">
        <v>0.0007462686567163</v>
      </c>
      <c r="H11" t="s">
        <v>219</v>
      </c>
      <c r="I11" s="12">
        <v>169.9</v>
      </c>
      <c r="J11" t="s">
        <v>227</v>
      </c>
      <c r="K11" s="12">
        <v>236.8</v>
      </c>
      <c r="L11" s="11">
        <v>0.3937610359034726</v>
      </c>
    </row>
    <row r="12" spans="1:12">
      <c r="A12" s="13">
        <v>43101</v>
      </c>
      <c r="B12" t="s">
        <v>221</v>
      </c>
      <c r="C12" t="s">
        <v>218</v>
      </c>
      <c r="D12" s="12">
        <v>151</v>
      </c>
      <c r="E12" s="11">
        <v>0.0039893617021276</v>
      </c>
    </row>
    <row r="13" spans="1:12">
      <c r="A13" s="13">
        <v>43101</v>
      </c>
      <c r="B13" t="s">
        <v>221</v>
      </c>
      <c r="C13" t="s">
        <v>220</v>
      </c>
      <c r="D13" s="12">
        <v>134</v>
      </c>
      <c r="E13" s="11">
        <v>-0.0037174721189591</v>
      </c>
    </row>
    <row r="14" spans="1:12">
      <c r="A14" s="13">
        <v>43101</v>
      </c>
      <c r="B14" t="s">
        <v>221</v>
      </c>
      <c r="C14" t="s">
        <v>217</v>
      </c>
      <c r="D14" s="12">
        <v>138.2</v>
      </c>
      <c r="E14" s="11">
        <v>0.0606293169608593</v>
      </c>
    </row>
    <row r="15" spans="1:12">
      <c r="A15" s="13">
        <v>43101</v>
      </c>
      <c r="B15" t="s">
        <v>221</v>
      </c>
      <c r="C15" t="s">
        <v>219</v>
      </c>
      <c r="D15" s="12">
        <v>156.2</v>
      </c>
      <c r="E15" s="11">
        <v>0.0123136746597536</v>
      </c>
    </row>
    <row r="16" spans="1:12">
      <c r="A16" s="13">
        <v>43101</v>
      </c>
      <c r="B16" t="s">
        <v>221</v>
      </c>
      <c r="C16" t="s">
        <v>214</v>
      </c>
      <c r="D16" s="12">
        <v>142.6</v>
      </c>
      <c r="E16" s="11">
        <v>0.0163934426229506</v>
      </c>
    </row>
    <row r="17" spans="1:5">
      <c r="A17" s="13">
        <v>43101</v>
      </c>
      <c r="B17" t="s">
        <v>221</v>
      </c>
      <c r="C17" t="s">
        <v>216</v>
      </c>
      <c r="D17" s="12">
        <v>131.7</v>
      </c>
      <c r="E17" s="11">
        <v>0.0169884169884169</v>
      </c>
    </row>
    <row r="18" spans="1:5">
      <c r="A18" s="13">
        <v>43132</v>
      </c>
      <c r="B18" t="s">
        <v>213</v>
      </c>
      <c r="C18" t="s">
        <v>217</v>
      </c>
      <c r="D18" s="12">
        <v>134.5</v>
      </c>
      <c r="E18" s="11">
        <v>0.0212604403948368</v>
      </c>
    </row>
    <row r="19" spans="1:5">
      <c r="A19" s="13">
        <v>43132</v>
      </c>
      <c r="B19" t="s">
        <v>213</v>
      </c>
      <c r="C19" t="s">
        <v>218</v>
      </c>
      <c r="D19" s="12">
        <v>157.7</v>
      </c>
      <c r="E19" s="11">
        <v>0.0207119741100323</v>
      </c>
    </row>
    <row r="20" spans="1:5">
      <c r="A20" s="13">
        <v>43132</v>
      </c>
      <c r="B20" t="s">
        <v>213</v>
      </c>
      <c r="C20" t="s">
        <v>220</v>
      </c>
      <c r="D20" s="12">
        <v>133</v>
      </c>
      <c r="E20" s="11">
        <v>0.0022607385079127</v>
      </c>
    </row>
    <row r="21" spans="1:5">
      <c r="A21" s="13">
        <v>43132</v>
      </c>
      <c r="B21" t="s">
        <v>213</v>
      </c>
      <c r="C21" t="s">
        <v>219</v>
      </c>
      <c r="D21" s="12">
        <v>159.4</v>
      </c>
      <c r="E21" s="11">
        <v>0.0133502860775587</v>
      </c>
    </row>
    <row r="22" spans="1:5">
      <c r="A22" s="13">
        <v>43132</v>
      </c>
      <c r="B22" t="s">
        <v>213</v>
      </c>
      <c r="C22" t="s">
        <v>214</v>
      </c>
      <c r="D22" s="12">
        <v>144.8</v>
      </c>
      <c r="E22" s="11">
        <v>0.0118798043326346</v>
      </c>
    </row>
    <row r="23" spans="1:5">
      <c r="A23" s="13">
        <v>43132</v>
      </c>
      <c r="B23" t="s">
        <v>213</v>
      </c>
      <c r="C23" t="s">
        <v>216</v>
      </c>
      <c r="D23" s="12">
        <v>134</v>
      </c>
      <c r="E23" s="11">
        <v>0.0213414634146342</v>
      </c>
    </row>
    <row r="24" spans="1:5">
      <c r="A24" s="13">
        <v>43132</v>
      </c>
      <c r="B24" t="s">
        <v>215</v>
      </c>
      <c r="C24" t="s">
        <v>216</v>
      </c>
      <c r="D24" s="12">
        <v>136</v>
      </c>
      <c r="E24" s="11">
        <v>0.0264150943396226</v>
      </c>
    </row>
    <row r="25" spans="1:5">
      <c r="A25" s="13">
        <v>43132</v>
      </c>
      <c r="B25" t="s">
        <v>221</v>
      </c>
      <c r="C25" t="s">
        <v>218</v>
      </c>
      <c r="D25" s="12">
        <v>152</v>
      </c>
      <c r="E25" s="11">
        <v>0.0099667774086378</v>
      </c>
    </row>
    <row r="26" spans="1:5">
      <c r="A26" s="13">
        <v>43132</v>
      </c>
      <c r="B26" t="s">
        <v>221</v>
      </c>
      <c r="C26" t="s">
        <v>220</v>
      </c>
      <c r="D26" s="12">
        <v>134.1</v>
      </c>
      <c r="E26" s="11">
        <v>0.0014936519790886</v>
      </c>
    </row>
    <row r="27" spans="1:5">
      <c r="A27" s="13">
        <v>43132</v>
      </c>
      <c r="B27" t="s">
        <v>221</v>
      </c>
      <c r="C27" t="s">
        <v>219</v>
      </c>
      <c r="D27" s="12">
        <v>156.7</v>
      </c>
      <c r="E27" s="11">
        <v>0.0162127107652398</v>
      </c>
    </row>
    <row r="28" spans="1:5">
      <c r="A28" s="13">
        <v>43132</v>
      </c>
      <c r="B28" t="s">
        <v>221</v>
      </c>
      <c r="C28" t="s">
        <v>214</v>
      </c>
      <c r="D28" s="12">
        <v>142.3</v>
      </c>
      <c r="E28" s="11">
        <v>0.0135327635327635</v>
      </c>
    </row>
    <row r="29" spans="1:5">
      <c r="A29" s="13">
        <v>43132</v>
      </c>
      <c r="B29" t="s">
        <v>221</v>
      </c>
      <c r="C29" t="s">
        <v>216</v>
      </c>
      <c r="D29" s="12">
        <v>132.5</v>
      </c>
      <c r="E29" s="11">
        <v>0.0215882806476486</v>
      </c>
    </row>
    <row r="30" spans="1:5">
      <c r="A30" s="13">
        <v>43132</v>
      </c>
      <c r="B30" t="s">
        <v>221</v>
      </c>
      <c r="C30" t="s">
        <v>217</v>
      </c>
      <c r="D30" s="12">
        <v>135.9</v>
      </c>
      <c r="E30" s="11">
        <v>0.0421779141104294</v>
      </c>
    </row>
    <row r="31" spans="1:5">
      <c r="A31" s="13">
        <v>43160</v>
      </c>
      <c r="B31" t="s">
        <v>215</v>
      </c>
      <c r="C31" t="s">
        <v>216</v>
      </c>
      <c r="D31" s="12">
        <v>136.7</v>
      </c>
      <c r="E31" s="11">
        <v>0.0278195488721804</v>
      </c>
    </row>
    <row r="32" spans="1:5">
      <c r="A32" s="13">
        <v>43160</v>
      </c>
      <c r="B32" t="s">
        <v>213</v>
      </c>
      <c r="C32" t="s">
        <v>217</v>
      </c>
      <c r="D32" s="12">
        <v>131.1</v>
      </c>
      <c r="E32" s="11">
        <v>0.0226209048361933</v>
      </c>
    </row>
    <row r="33" spans="1:5">
      <c r="A33" s="13">
        <v>43160</v>
      </c>
      <c r="B33" t="s">
        <v>213</v>
      </c>
      <c r="C33" t="s">
        <v>218</v>
      </c>
      <c r="D33" s="12">
        <v>156.5</v>
      </c>
      <c r="E33" s="11">
        <v>0.0136010362694301</v>
      </c>
    </row>
    <row r="34" spans="1:5">
      <c r="A34" s="13">
        <v>43160</v>
      </c>
      <c r="B34" t="s">
        <v>213</v>
      </c>
      <c r="C34" t="s">
        <v>220</v>
      </c>
      <c r="D34" s="12">
        <v>133</v>
      </c>
      <c r="E34" s="11">
        <v>-0.0015015015015014</v>
      </c>
    </row>
    <row r="35" spans="1:5">
      <c r="A35" s="13">
        <v>43160</v>
      </c>
      <c r="B35" t="s">
        <v>213</v>
      </c>
      <c r="C35" t="s">
        <v>219</v>
      </c>
      <c r="D35" s="12">
        <v>157.6</v>
      </c>
      <c r="E35" s="11">
        <v>0.0019071837253654</v>
      </c>
    </row>
    <row r="36" spans="1:5">
      <c r="A36" s="13">
        <v>43160</v>
      </c>
      <c r="B36" t="s">
        <v>213</v>
      </c>
      <c r="C36" t="s">
        <v>214</v>
      </c>
      <c r="D36" s="12">
        <v>143.6</v>
      </c>
      <c r="E36" s="11">
        <v>0.0063069376313946</v>
      </c>
    </row>
    <row r="37" spans="1:5">
      <c r="A37" s="13">
        <v>43160</v>
      </c>
      <c r="B37" t="s">
        <v>213</v>
      </c>
      <c r="C37" t="s">
        <v>216</v>
      </c>
      <c r="D37" s="12">
        <v>134.6</v>
      </c>
      <c r="E37" s="11">
        <v>0.0243531202435312</v>
      </c>
    </row>
    <row r="38" spans="1:5">
      <c r="A38" s="13">
        <v>43160</v>
      </c>
      <c r="B38" t="s">
        <v>221</v>
      </c>
      <c r="C38" t="s">
        <v>218</v>
      </c>
      <c r="D38" s="12">
        <v>151.1</v>
      </c>
      <c r="E38" s="11">
        <v>0.0026542800265427</v>
      </c>
    </row>
    <row r="39" spans="1:5">
      <c r="A39" s="13">
        <v>43160</v>
      </c>
      <c r="B39" t="s">
        <v>221</v>
      </c>
      <c r="C39" t="s">
        <v>220</v>
      </c>
      <c r="D39" s="12">
        <v>133.8</v>
      </c>
      <c r="E39" s="11">
        <v>-0.0029806259314454</v>
      </c>
    </row>
    <row r="40" spans="1:5">
      <c r="A40" s="13">
        <v>43160</v>
      </c>
      <c r="B40" t="s">
        <v>221</v>
      </c>
      <c r="C40" t="s">
        <v>219</v>
      </c>
      <c r="D40" s="12">
        <v>156</v>
      </c>
      <c r="E40" s="11">
        <v>0.0051546391752577</v>
      </c>
    </row>
    <row r="41" spans="1:5">
      <c r="A41" s="13">
        <v>43160</v>
      </c>
      <c r="B41" t="s">
        <v>221</v>
      </c>
      <c r="C41" t="s">
        <v>214</v>
      </c>
      <c r="D41" s="12">
        <v>141.3</v>
      </c>
      <c r="E41" s="11">
        <v>0.0049786628733998</v>
      </c>
    </row>
    <row r="42" spans="1:5">
      <c r="A42" s="13">
        <v>43160</v>
      </c>
      <c r="B42" t="s">
        <v>221</v>
      </c>
      <c r="C42" t="s">
        <v>216</v>
      </c>
      <c r="D42" s="12">
        <v>132.9</v>
      </c>
      <c r="E42" s="11">
        <v>0.0230946882217089</v>
      </c>
    </row>
    <row r="43" spans="1:5">
      <c r="A43" s="13">
        <v>43160</v>
      </c>
      <c r="B43" t="s">
        <v>221</v>
      </c>
      <c r="C43" t="s">
        <v>217</v>
      </c>
      <c r="D43" s="12">
        <v>132.7</v>
      </c>
      <c r="E43" s="11">
        <v>0.0286821705426356</v>
      </c>
    </row>
    <row r="44" spans="1:5">
      <c r="A44" s="13">
        <v>43191</v>
      </c>
      <c r="B44" t="s">
        <v>213</v>
      </c>
      <c r="C44" t="s">
        <v>219</v>
      </c>
      <c r="D44" s="12">
        <v>159.5</v>
      </c>
      <c r="E44" s="11">
        <v>0.0139860139860139</v>
      </c>
    </row>
    <row r="45" spans="1:5">
      <c r="A45" s="13">
        <v>43191</v>
      </c>
      <c r="B45" t="s">
        <v>215</v>
      </c>
      <c r="C45" t="s">
        <v>216</v>
      </c>
      <c r="D45" s="12">
        <v>136.8</v>
      </c>
      <c r="E45" s="11">
        <v>0.0239520958083834</v>
      </c>
    </row>
    <row r="46" spans="1:5">
      <c r="A46" s="13">
        <v>43191</v>
      </c>
      <c r="B46" t="s">
        <v>213</v>
      </c>
      <c r="C46" t="s">
        <v>217</v>
      </c>
      <c r="D46" s="12">
        <v>132.6</v>
      </c>
      <c r="E46" s="11">
        <v>-0.0007535795026374</v>
      </c>
    </row>
    <row r="47" spans="1:5">
      <c r="A47" s="13">
        <v>43191</v>
      </c>
      <c r="B47" t="s">
        <v>213</v>
      </c>
      <c r="C47" t="s">
        <v>218</v>
      </c>
      <c r="D47" s="12">
        <v>156.3</v>
      </c>
      <c r="E47" s="11">
        <v>0.0064391500321956</v>
      </c>
    </row>
    <row r="48" spans="1:5">
      <c r="A48" s="13">
        <v>43191</v>
      </c>
      <c r="B48" t="s">
        <v>213</v>
      </c>
      <c r="C48" t="s">
        <v>220</v>
      </c>
      <c r="D48" s="12">
        <v>133.7</v>
      </c>
      <c r="E48" s="11">
        <v>0</v>
      </c>
    </row>
    <row r="49" spans="1:5">
      <c r="A49" s="13">
        <v>43191</v>
      </c>
      <c r="B49" t="s">
        <v>213</v>
      </c>
      <c r="C49" t="s">
        <v>214</v>
      </c>
      <c r="D49" s="12">
        <v>144.6</v>
      </c>
      <c r="E49" s="11">
        <v>0.009071877180739599</v>
      </c>
    </row>
    <row r="50" spans="1:5">
      <c r="A50" s="13">
        <v>43191</v>
      </c>
      <c r="B50" t="s">
        <v>213</v>
      </c>
      <c r="C50" t="s">
        <v>216</v>
      </c>
      <c r="D50" s="12">
        <v>134.8</v>
      </c>
      <c r="E50" s="11">
        <v>0.0212121212121212</v>
      </c>
    </row>
    <row r="51" spans="1:5">
      <c r="A51" s="13">
        <v>43191</v>
      </c>
      <c r="B51" t="s">
        <v>221</v>
      </c>
      <c r="C51" t="s">
        <v>217</v>
      </c>
      <c r="D51" s="12">
        <v>132.3</v>
      </c>
      <c r="E51" s="11">
        <v>0.0153491941673062</v>
      </c>
    </row>
    <row r="52" spans="1:5">
      <c r="A52" s="13">
        <v>43191</v>
      </c>
      <c r="B52" t="s">
        <v>221</v>
      </c>
      <c r="C52" t="s">
        <v>218</v>
      </c>
      <c r="D52" s="12">
        <v>151.5</v>
      </c>
      <c r="E52" s="11">
        <v>-0.0006596306068601</v>
      </c>
    </row>
    <row r="53" spans="1:5">
      <c r="A53" s="13">
        <v>43191</v>
      </c>
      <c r="B53" t="s">
        <v>221</v>
      </c>
      <c r="C53" t="s">
        <v>220</v>
      </c>
      <c r="D53" s="12">
        <v>133.7</v>
      </c>
      <c r="E53" s="11">
        <v>-0.0074239049740163</v>
      </c>
    </row>
    <row r="54" spans="1:5">
      <c r="A54" s="13">
        <v>43191</v>
      </c>
      <c r="B54" t="s">
        <v>221</v>
      </c>
      <c r="C54" t="s">
        <v>219</v>
      </c>
      <c r="D54" s="12">
        <v>158.2</v>
      </c>
      <c r="E54" s="11">
        <v>0.0180180180180178</v>
      </c>
    </row>
    <row r="55" spans="1:5">
      <c r="A55" s="13">
        <v>43191</v>
      </c>
      <c r="B55" t="s">
        <v>221</v>
      </c>
      <c r="C55" t="s">
        <v>214</v>
      </c>
      <c r="D55" s="12">
        <v>141.9</v>
      </c>
      <c r="E55" s="11">
        <v>0.007097232079489</v>
      </c>
    </row>
    <row r="56" spans="1:5">
      <c r="A56" s="13">
        <v>43191</v>
      </c>
      <c r="B56" t="s">
        <v>221</v>
      </c>
      <c r="C56" t="s">
        <v>216</v>
      </c>
      <c r="D56" s="12">
        <v>133.3</v>
      </c>
      <c r="E56" s="11">
        <v>0.022239263803681</v>
      </c>
    </row>
    <row r="57" spans="1:5">
      <c r="A57" s="13">
        <v>43221</v>
      </c>
      <c r="B57" t="s">
        <v>213</v>
      </c>
      <c r="C57" t="s">
        <v>217</v>
      </c>
      <c r="D57" s="12">
        <v>133.4</v>
      </c>
      <c r="E57" s="11">
        <v>-0.0154981549815498</v>
      </c>
    </row>
    <row r="58" spans="1:5">
      <c r="A58" s="13">
        <v>43221</v>
      </c>
      <c r="B58" t="s">
        <v>213</v>
      </c>
      <c r="C58" t="s">
        <v>218</v>
      </c>
      <c r="D58" s="12">
        <v>158</v>
      </c>
      <c r="E58" s="11">
        <v>0.0239792611795204</v>
      </c>
    </row>
    <row r="59" spans="1:5">
      <c r="A59" s="13">
        <v>43221</v>
      </c>
      <c r="B59" t="s">
        <v>213</v>
      </c>
      <c r="C59" t="s">
        <v>220</v>
      </c>
      <c r="D59" s="12">
        <v>132.4</v>
      </c>
      <c r="E59" s="11">
        <v>-0.0052592036063109</v>
      </c>
    </row>
    <row r="60" spans="1:5">
      <c r="A60" s="13">
        <v>43221</v>
      </c>
      <c r="B60" t="s">
        <v>213</v>
      </c>
      <c r="C60" t="s">
        <v>219</v>
      </c>
      <c r="D60" s="12">
        <v>158.6</v>
      </c>
      <c r="E60" s="11">
        <v>0.0069841269841268</v>
      </c>
    </row>
    <row r="61" spans="1:5">
      <c r="A61" s="13">
        <v>43221</v>
      </c>
      <c r="B61" t="s">
        <v>213</v>
      </c>
      <c r="C61" t="s">
        <v>214</v>
      </c>
      <c r="D61" s="12">
        <v>144</v>
      </c>
      <c r="E61" s="11">
        <v>-0.0006939625260236</v>
      </c>
    </row>
    <row r="62" spans="1:5">
      <c r="A62" s="13">
        <v>43221</v>
      </c>
      <c r="B62" t="s">
        <v>213</v>
      </c>
      <c r="C62" t="s">
        <v>216</v>
      </c>
      <c r="D62" s="12">
        <v>134.9</v>
      </c>
      <c r="E62" s="11">
        <v>0.0227445034116755</v>
      </c>
    </row>
    <row r="63" spans="1:5">
      <c r="A63" s="13">
        <v>43221</v>
      </c>
      <c r="B63" t="s">
        <v>215</v>
      </c>
      <c r="C63" t="s">
        <v>216</v>
      </c>
      <c r="D63" s="12">
        <v>136.7</v>
      </c>
      <c r="E63" s="11">
        <v>0.0224382946896035</v>
      </c>
    </row>
    <row r="64" spans="1:5">
      <c r="A64" s="13">
        <v>43221</v>
      </c>
      <c r="B64" t="s">
        <v>221</v>
      </c>
      <c r="C64" t="s">
        <v>218</v>
      </c>
      <c r="D64" s="12">
        <v>151.6</v>
      </c>
      <c r="E64" s="11">
        <v>0.0026455026455027</v>
      </c>
    </row>
    <row r="65" spans="1:5">
      <c r="A65" s="13">
        <v>43221</v>
      </c>
      <c r="B65" t="s">
        <v>221</v>
      </c>
      <c r="C65" t="s">
        <v>220</v>
      </c>
      <c r="D65" s="12">
        <v>133.6</v>
      </c>
      <c r="E65" s="11">
        <v>-0.0052122114668653</v>
      </c>
    </row>
    <row r="66" spans="1:5">
      <c r="A66" s="13">
        <v>43221</v>
      </c>
      <c r="B66" t="s">
        <v>221</v>
      </c>
      <c r="C66" t="s">
        <v>219</v>
      </c>
      <c r="D66" s="12">
        <v>156.3</v>
      </c>
      <c r="E66" s="11">
        <v>0.0025657472738935</v>
      </c>
    </row>
    <row r="67" spans="1:5">
      <c r="A67" s="13">
        <v>43221</v>
      </c>
      <c r="B67" t="s">
        <v>221</v>
      </c>
      <c r="C67" t="s">
        <v>214</v>
      </c>
      <c r="D67" s="12">
        <v>141.4</v>
      </c>
      <c r="E67" s="11">
        <v>-0.0049261083743841</v>
      </c>
    </row>
    <row r="68" spans="1:5">
      <c r="A68" s="13">
        <v>43221</v>
      </c>
      <c r="B68" t="s">
        <v>221</v>
      </c>
      <c r="C68" t="s">
        <v>216</v>
      </c>
      <c r="D68" s="12">
        <v>133.4</v>
      </c>
      <c r="E68" s="11">
        <v>0.0222222222222223</v>
      </c>
    </row>
    <row r="69" spans="1:5">
      <c r="A69" s="13">
        <v>43221</v>
      </c>
      <c r="B69" t="s">
        <v>221</v>
      </c>
      <c r="C69" t="s">
        <v>217</v>
      </c>
      <c r="D69" s="12">
        <v>133.4</v>
      </c>
      <c r="E69" s="11">
        <v>-0.0154981549815498</v>
      </c>
    </row>
    <row r="70" spans="1:5">
      <c r="A70" s="13">
        <v>43252</v>
      </c>
      <c r="B70" t="s">
        <v>215</v>
      </c>
      <c r="C70" t="s">
        <v>216</v>
      </c>
      <c r="D70" s="12">
        <v>137.5</v>
      </c>
      <c r="E70" s="11">
        <v>0.0245901639344263</v>
      </c>
    </row>
    <row r="71" spans="1:5">
      <c r="A71" s="13">
        <v>43252</v>
      </c>
      <c r="B71" t="s">
        <v>213</v>
      </c>
      <c r="C71" t="s">
        <v>217</v>
      </c>
      <c r="D71" s="12">
        <v>139</v>
      </c>
      <c r="E71" s="11">
        <v>0.0123816460305898</v>
      </c>
    </row>
    <row r="72" spans="1:5">
      <c r="A72" s="13">
        <v>43252</v>
      </c>
      <c r="B72" t="s">
        <v>213</v>
      </c>
      <c r="C72" t="s">
        <v>218</v>
      </c>
      <c r="D72" s="12">
        <v>157.7</v>
      </c>
      <c r="E72" s="11">
        <v>0.0148005148005145</v>
      </c>
    </row>
    <row r="73" spans="1:5">
      <c r="A73" s="13">
        <v>43252</v>
      </c>
      <c r="B73" t="s">
        <v>213</v>
      </c>
      <c r="C73" t="s">
        <v>220</v>
      </c>
      <c r="D73" s="12">
        <v>133.6</v>
      </c>
      <c r="E73" s="11">
        <v>0.0105900151285931</v>
      </c>
    </row>
    <row r="74" spans="1:5">
      <c r="A74" s="13">
        <v>43252</v>
      </c>
      <c r="B74" t="s">
        <v>213</v>
      </c>
      <c r="C74" t="s">
        <v>219</v>
      </c>
      <c r="D74" s="12">
        <v>160.7</v>
      </c>
      <c r="E74" s="11">
        <v>0.0248724489795917</v>
      </c>
    </row>
    <row r="75" spans="1:5">
      <c r="A75" s="13">
        <v>43252</v>
      </c>
      <c r="B75" t="s">
        <v>213</v>
      </c>
      <c r="C75" t="s">
        <v>214</v>
      </c>
      <c r="D75" s="12">
        <v>146.2</v>
      </c>
      <c r="E75" s="11">
        <v>0.0117647058823529</v>
      </c>
    </row>
    <row r="76" spans="1:5">
      <c r="A76" s="13">
        <v>43252</v>
      </c>
      <c r="B76" t="s">
        <v>213</v>
      </c>
      <c r="C76" t="s">
        <v>216</v>
      </c>
      <c r="D76" s="12">
        <v>135.3</v>
      </c>
      <c r="E76" s="11">
        <v>0.024224072672218</v>
      </c>
    </row>
    <row r="77" spans="1:5">
      <c r="A77" s="13">
        <v>43252</v>
      </c>
      <c r="B77" t="s">
        <v>221</v>
      </c>
      <c r="C77" t="s">
        <v>218</v>
      </c>
      <c r="D77" s="12">
        <v>151.2</v>
      </c>
      <c r="E77" s="11">
        <v>-0.0032959789057349</v>
      </c>
    </row>
    <row r="78" spans="1:5">
      <c r="A78" s="13">
        <v>43252</v>
      </c>
      <c r="B78" t="s">
        <v>221</v>
      </c>
      <c r="C78" t="s">
        <v>220</v>
      </c>
      <c r="D78" s="12">
        <v>133.3</v>
      </c>
      <c r="E78" s="11">
        <v>-0.0022455089820357</v>
      </c>
    </row>
    <row r="79" spans="1:5">
      <c r="A79" s="13">
        <v>43252</v>
      </c>
      <c r="B79" t="s">
        <v>221</v>
      </c>
      <c r="C79" t="s">
        <v>219</v>
      </c>
      <c r="D79" s="12">
        <v>157.6</v>
      </c>
      <c r="E79" s="11">
        <v>0.0070287539936102</v>
      </c>
    </row>
    <row r="80" spans="1:5">
      <c r="A80" s="13">
        <v>43252</v>
      </c>
      <c r="B80" t="s">
        <v>221</v>
      </c>
      <c r="C80" t="s">
        <v>214</v>
      </c>
      <c r="D80" s="12">
        <v>142.7</v>
      </c>
      <c r="E80" s="11">
        <v>0.0007012622720896</v>
      </c>
    </row>
    <row r="81" spans="1:5">
      <c r="A81" s="13">
        <v>43252</v>
      </c>
      <c r="B81" t="s">
        <v>221</v>
      </c>
      <c r="C81" t="s">
        <v>216</v>
      </c>
      <c r="D81" s="12">
        <v>133.6</v>
      </c>
      <c r="E81" s="11">
        <v>0.0245398773006133</v>
      </c>
    </row>
    <row r="82" spans="1:5">
      <c r="A82" s="13">
        <v>43252</v>
      </c>
      <c r="B82" t="s">
        <v>221</v>
      </c>
      <c r="C82" t="s">
        <v>217</v>
      </c>
      <c r="D82" s="12">
        <v>138.5</v>
      </c>
      <c r="E82" s="11">
        <v>0.0050798258345428</v>
      </c>
    </row>
    <row r="83" spans="1:5">
      <c r="A83" s="13">
        <v>43282</v>
      </c>
      <c r="B83" t="s">
        <v>213</v>
      </c>
      <c r="C83" t="s">
        <v>214</v>
      </c>
      <c r="D83" s="12">
        <v>146.9</v>
      </c>
      <c r="E83" s="11">
        <v>0.0089285714285713</v>
      </c>
    </row>
    <row r="84" spans="1:5">
      <c r="A84" s="13">
        <v>43282</v>
      </c>
      <c r="B84" t="s">
        <v>213</v>
      </c>
      <c r="C84" t="s">
        <v>217</v>
      </c>
      <c r="D84" s="12">
        <v>142.7</v>
      </c>
      <c r="E84" s="11">
        <v>0.0295815295815295</v>
      </c>
    </row>
    <row r="85" spans="1:5">
      <c r="A85" s="13">
        <v>43282</v>
      </c>
      <c r="B85" t="s">
        <v>213</v>
      </c>
      <c r="C85" t="s">
        <v>218</v>
      </c>
      <c r="D85" s="12">
        <v>157.2</v>
      </c>
      <c r="E85" s="11">
        <v>0.0083386786401538</v>
      </c>
    </row>
    <row r="86" spans="1:5">
      <c r="A86" s="13">
        <v>43282</v>
      </c>
      <c r="B86" t="s">
        <v>213</v>
      </c>
      <c r="C86" t="s">
        <v>220</v>
      </c>
      <c r="D86" s="12">
        <v>134.6</v>
      </c>
      <c r="E86" s="11">
        <v>0.0150829562594267</v>
      </c>
    </row>
    <row r="87" spans="1:5">
      <c r="A87" s="13">
        <v>43282</v>
      </c>
      <c r="B87" t="s">
        <v>213</v>
      </c>
      <c r="C87" t="s">
        <v>219</v>
      </c>
      <c r="D87" s="12">
        <v>161.9</v>
      </c>
      <c r="E87" s="11">
        <v>0.008722741433021699</v>
      </c>
    </row>
    <row r="88" spans="1:5">
      <c r="A88" s="13">
        <v>43282</v>
      </c>
      <c r="B88" t="s">
        <v>213</v>
      </c>
      <c r="C88" t="s">
        <v>216</v>
      </c>
      <c r="D88" s="12">
        <v>136</v>
      </c>
      <c r="E88" s="11">
        <v>0.0310841546626232</v>
      </c>
    </row>
    <row r="89" spans="1:5">
      <c r="A89" s="13">
        <v>43282</v>
      </c>
      <c r="B89" t="s">
        <v>215</v>
      </c>
      <c r="C89" t="s">
        <v>216</v>
      </c>
      <c r="D89" s="12">
        <v>138</v>
      </c>
      <c r="E89" s="11">
        <v>0.0298507462686568</v>
      </c>
    </row>
    <row r="90" spans="1:5">
      <c r="A90" s="13">
        <v>43282</v>
      </c>
      <c r="B90" t="s">
        <v>221</v>
      </c>
      <c r="C90" t="s">
        <v>218</v>
      </c>
      <c r="D90" s="12">
        <v>151.3</v>
      </c>
      <c r="E90" s="11">
        <v>-0.0065659881812212</v>
      </c>
    </row>
    <row r="91" spans="1:5">
      <c r="A91" s="13">
        <v>43282</v>
      </c>
      <c r="B91" t="s">
        <v>221</v>
      </c>
      <c r="C91" t="s">
        <v>220</v>
      </c>
      <c r="D91" s="12">
        <v>133.5</v>
      </c>
      <c r="E91" s="11">
        <v>0</v>
      </c>
    </row>
    <row r="92" spans="1:5">
      <c r="A92" s="13">
        <v>43282</v>
      </c>
      <c r="B92" t="s">
        <v>221</v>
      </c>
      <c r="C92" t="s">
        <v>219</v>
      </c>
      <c r="D92" s="12">
        <v>158.7</v>
      </c>
      <c r="E92" s="11">
        <v>0.0018939393939392</v>
      </c>
    </row>
    <row r="93" spans="1:5">
      <c r="A93" s="13">
        <v>43282</v>
      </c>
      <c r="B93" t="s">
        <v>221</v>
      </c>
      <c r="C93" t="s">
        <v>214</v>
      </c>
      <c r="D93" s="12">
        <v>143.3</v>
      </c>
      <c r="E93" s="11">
        <v>0.0006983240223465</v>
      </c>
    </row>
    <row r="94" spans="1:5">
      <c r="A94" s="13">
        <v>43282</v>
      </c>
      <c r="B94" t="s">
        <v>221</v>
      </c>
      <c r="C94" t="s">
        <v>216</v>
      </c>
      <c r="D94" s="12">
        <v>134.3</v>
      </c>
      <c r="E94" s="11">
        <v>0.0299079754601228</v>
      </c>
    </row>
    <row r="95" spans="1:5">
      <c r="A95" s="13">
        <v>43282</v>
      </c>
      <c r="B95" t="s">
        <v>221</v>
      </c>
      <c r="C95" t="s">
        <v>217</v>
      </c>
      <c r="D95" s="12">
        <v>140.8</v>
      </c>
      <c r="E95" s="11">
        <v>0.0166064981949458</v>
      </c>
    </row>
    <row r="96" spans="1:5">
      <c r="A96" s="13">
        <v>43313</v>
      </c>
      <c r="B96" t="s">
        <v>213</v>
      </c>
      <c r="C96" t="s">
        <v>217</v>
      </c>
      <c r="D96" s="12">
        <v>136.6</v>
      </c>
      <c r="E96" s="11">
        <v>0.0372057706909643</v>
      </c>
    </row>
    <row r="97" spans="1:5">
      <c r="A97" s="13">
        <v>43313</v>
      </c>
      <c r="B97" t="s">
        <v>213</v>
      </c>
      <c r="C97" t="s">
        <v>218</v>
      </c>
      <c r="D97" s="12">
        <v>157.6</v>
      </c>
      <c r="E97" s="11">
        <v>0.0051020408163264</v>
      </c>
    </row>
    <row r="98" spans="1:5">
      <c r="A98" s="13">
        <v>43313</v>
      </c>
      <c r="B98" t="s">
        <v>213</v>
      </c>
      <c r="C98" t="s">
        <v>220</v>
      </c>
      <c r="D98" s="12">
        <v>134.7</v>
      </c>
      <c r="E98" s="11">
        <v>0.019682059046177</v>
      </c>
    </row>
    <row r="99" spans="1:5">
      <c r="A99" s="13">
        <v>43313</v>
      </c>
      <c r="B99" t="s">
        <v>213</v>
      </c>
      <c r="C99" t="s">
        <v>219</v>
      </c>
      <c r="D99" s="12">
        <v>162.3</v>
      </c>
      <c r="E99" s="11">
        <v>0.0074487895716948</v>
      </c>
    </row>
    <row r="100" spans="1:5">
      <c r="A100" s="13">
        <v>43313</v>
      </c>
      <c r="B100" t="s">
        <v>213</v>
      </c>
      <c r="C100" t="s">
        <v>214</v>
      </c>
      <c r="D100" s="12">
        <v>145.7</v>
      </c>
      <c r="E100" s="11">
        <v>0.0097020097020095</v>
      </c>
    </row>
    <row r="101" spans="1:5">
      <c r="A101" s="13">
        <v>43313</v>
      </c>
      <c r="B101" t="s">
        <v>213</v>
      </c>
      <c r="C101" t="s">
        <v>216</v>
      </c>
      <c r="D101" s="12">
        <v>135.9</v>
      </c>
      <c r="E101" s="11">
        <v>0.0311077389984824</v>
      </c>
    </row>
    <row r="102" spans="1:5">
      <c r="A102" s="13">
        <v>43313</v>
      </c>
      <c r="B102" t="s">
        <v>215</v>
      </c>
      <c r="C102" t="s">
        <v>216</v>
      </c>
      <c r="D102" s="12">
        <v>137.9</v>
      </c>
      <c r="E102" s="11">
        <v>0.0306427503736921</v>
      </c>
    </row>
    <row r="103" spans="1:5">
      <c r="A103" s="13">
        <v>43313</v>
      </c>
      <c r="B103" t="s">
        <v>221</v>
      </c>
      <c r="C103" t="s">
        <v>218</v>
      </c>
      <c r="D103" s="12">
        <v>151.8</v>
      </c>
      <c r="E103" s="11">
        <v>-0.0078431372549019</v>
      </c>
    </row>
    <row r="104" spans="1:5">
      <c r="A104" s="13">
        <v>43313</v>
      </c>
      <c r="B104" t="s">
        <v>221</v>
      </c>
      <c r="C104" t="s">
        <v>220</v>
      </c>
      <c r="D104" s="12">
        <v>134.3</v>
      </c>
      <c r="E104" s="11">
        <v>0.0022388059701492</v>
      </c>
    </row>
    <row r="105" spans="1:5">
      <c r="A105" s="13">
        <v>43313</v>
      </c>
      <c r="B105" t="s">
        <v>221</v>
      </c>
      <c r="C105" t="s">
        <v>219</v>
      </c>
      <c r="D105" s="12">
        <v>159.7</v>
      </c>
      <c r="E105" s="11">
        <v>0.0025109855618328</v>
      </c>
    </row>
    <row r="106" spans="1:5">
      <c r="A106" s="13">
        <v>43313</v>
      </c>
      <c r="B106" t="s">
        <v>221</v>
      </c>
      <c r="C106" t="s">
        <v>214</v>
      </c>
      <c r="D106" s="12">
        <v>142.8</v>
      </c>
      <c r="E106" s="11">
        <v>0.002808988764045</v>
      </c>
    </row>
    <row r="107" spans="1:5">
      <c r="A107" s="13">
        <v>43313</v>
      </c>
      <c r="B107" t="s">
        <v>221</v>
      </c>
      <c r="C107" t="s">
        <v>216</v>
      </c>
      <c r="D107" s="12">
        <v>134.2</v>
      </c>
      <c r="E107" s="11">
        <v>0.0283524904214558</v>
      </c>
    </row>
    <row r="108" spans="1:5">
      <c r="A108" s="13">
        <v>43313</v>
      </c>
      <c r="B108" t="s">
        <v>221</v>
      </c>
      <c r="C108" t="s">
        <v>217</v>
      </c>
      <c r="D108" s="12">
        <v>136</v>
      </c>
      <c r="E108" s="11">
        <v>0.0303030303030302</v>
      </c>
    </row>
    <row r="109" spans="1:5">
      <c r="A109" s="13">
        <v>43344</v>
      </c>
      <c r="B109" t="s">
        <v>215</v>
      </c>
      <c r="C109" t="s">
        <v>216</v>
      </c>
      <c r="D109" s="12">
        <v>137.4</v>
      </c>
      <c r="E109" s="11">
        <v>0.0223214285714286</v>
      </c>
    </row>
    <row r="110" spans="1:5">
      <c r="A110" s="13">
        <v>43344</v>
      </c>
      <c r="B110" t="s">
        <v>213</v>
      </c>
      <c r="C110" t="s">
        <v>217</v>
      </c>
      <c r="D110" s="12">
        <v>130.9</v>
      </c>
      <c r="E110" s="11">
        <v>0.06769983686786291</v>
      </c>
    </row>
    <row r="111" spans="1:5">
      <c r="A111" s="13">
        <v>43344</v>
      </c>
      <c r="B111" t="s">
        <v>213</v>
      </c>
      <c r="C111" t="s">
        <v>218</v>
      </c>
      <c r="D111" s="12">
        <v>155.1</v>
      </c>
      <c r="E111" s="11">
        <v>0.0032341526520052</v>
      </c>
    </row>
    <row r="112" spans="1:5">
      <c r="A112" s="13">
        <v>43344</v>
      </c>
      <c r="B112" t="s">
        <v>213</v>
      </c>
      <c r="C112" t="s">
        <v>220</v>
      </c>
      <c r="D112" s="12">
        <v>135.3</v>
      </c>
      <c r="E112" s="11">
        <v>0.0281155015197569</v>
      </c>
    </row>
    <row r="113" spans="1:5">
      <c r="A113" s="13">
        <v>43344</v>
      </c>
      <c r="B113" t="s">
        <v>213</v>
      </c>
      <c r="C113" t="s">
        <v>219</v>
      </c>
      <c r="D113" s="12">
        <v>160.6</v>
      </c>
      <c r="E113" s="11">
        <v>0.010062893081761</v>
      </c>
    </row>
    <row r="114" spans="1:5">
      <c r="A114" s="13">
        <v>43344</v>
      </c>
      <c r="B114" t="s">
        <v>213</v>
      </c>
      <c r="C114" t="s">
        <v>214</v>
      </c>
      <c r="D114" s="12">
        <v>143.7</v>
      </c>
      <c r="E114" s="11">
        <v>0.0119718309859153</v>
      </c>
    </row>
    <row r="115" spans="1:5">
      <c r="A115" s="13">
        <v>43344</v>
      </c>
      <c r="B115" t="s">
        <v>213</v>
      </c>
      <c r="C115" t="s">
        <v>216</v>
      </c>
      <c r="D115" s="12">
        <v>135.2</v>
      </c>
      <c r="E115" s="11">
        <v>0.0219198790627359</v>
      </c>
    </row>
    <row r="116" spans="1:5">
      <c r="A116" s="13">
        <v>43344</v>
      </c>
      <c r="B116" t="s">
        <v>221</v>
      </c>
      <c r="C116" t="s">
        <v>218</v>
      </c>
      <c r="D116" s="12">
        <v>149.6</v>
      </c>
      <c r="E116" s="11">
        <v>-0.007957559681697699</v>
      </c>
    </row>
    <row r="117" spans="1:5">
      <c r="A117" s="13">
        <v>43344</v>
      </c>
      <c r="B117" t="s">
        <v>221</v>
      </c>
      <c r="C117" t="s">
        <v>220</v>
      </c>
      <c r="D117" s="12">
        <v>134.6</v>
      </c>
      <c r="E117" s="11">
        <v>0.0112697220135236</v>
      </c>
    </row>
    <row r="118" spans="1:5">
      <c r="A118" s="13">
        <v>43344</v>
      </c>
      <c r="B118" t="s">
        <v>221</v>
      </c>
      <c r="C118" t="s">
        <v>219</v>
      </c>
      <c r="D118" s="12">
        <v>159.4</v>
      </c>
      <c r="E118" s="11">
        <v>0.0056782334384859</v>
      </c>
    </row>
    <row r="119" spans="1:5">
      <c r="A119" s="13">
        <v>43344</v>
      </c>
      <c r="B119" t="s">
        <v>221</v>
      </c>
      <c r="C119" t="s">
        <v>214</v>
      </c>
      <c r="D119" s="12">
        <v>141.4</v>
      </c>
      <c r="E119" s="11">
        <v>0.0064056939501779</v>
      </c>
    </row>
    <row r="120" spans="1:5">
      <c r="A120" s="13">
        <v>43344</v>
      </c>
      <c r="B120" t="s">
        <v>221</v>
      </c>
      <c r="C120" t="s">
        <v>216</v>
      </c>
      <c r="D120" s="12">
        <v>133.7</v>
      </c>
      <c r="E120" s="11">
        <v>0.0221712538226297</v>
      </c>
    </row>
    <row r="121" spans="1:5">
      <c r="A121" s="13">
        <v>43344</v>
      </c>
      <c r="B121" t="s">
        <v>221</v>
      </c>
      <c r="C121" t="s">
        <v>217</v>
      </c>
      <c r="D121" s="12">
        <v>130.9</v>
      </c>
      <c r="E121" s="11">
        <v>0.0480384307445955</v>
      </c>
    </row>
    <row r="122" spans="1:5">
      <c r="A122" s="13">
        <v>43374</v>
      </c>
      <c r="B122" t="s">
        <v>213</v>
      </c>
      <c r="C122" t="s">
        <v>214</v>
      </c>
      <c r="D122" s="12">
        <v>142.9</v>
      </c>
      <c r="E122" s="11">
        <v>0.0163584637268847</v>
      </c>
    </row>
    <row r="123" spans="1:5">
      <c r="A123" s="13">
        <v>43374</v>
      </c>
      <c r="B123" t="s">
        <v>213</v>
      </c>
      <c r="C123" t="s">
        <v>217</v>
      </c>
      <c r="D123" s="12">
        <v>125.1</v>
      </c>
      <c r="E123" s="11">
        <v>0.0784482758620688</v>
      </c>
    </row>
    <row r="124" spans="1:5">
      <c r="A124" s="13">
        <v>43374</v>
      </c>
      <c r="B124" t="s">
        <v>213</v>
      </c>
      <c r="C124" t="s">
        <v>218</v>
      </c>
      <c r="D124" s="12">
        <v>158.9</v>
      </c>
      <c r="E124" s="11">
        <v>0.0101716465352827</v>
      </c>
    </row>
    <row r="125" spans="1:5">
      <c r="A125" s="13">
        <v>43374</v>
      </c>
      <c r="B125" t="s">
        <v>213</v>
      </c>
      <c r="C125" t="s">
        <v>220</v>
      </c>
      <c r="D125" s="12">
        <v>134.1</v>
      </c>
      <c r="E125" s="11">
        <v>0.0213252094440212</v>
      </c>
    </row>
    <row r="126" spans="1:5">
      <c r="A126" s="13">
        <v>43374</v>
      </c>
      <c r="B126" t="s">
        <v>213</v>
      </c>
      <c r="C126" t="s">
        <v>219</v>
      </c>
      <c r="D126" s="12">
        <v>160.2</v>
      </c>
      <c r="E126" s="11">
        <v>0.0132827324478177</v>
      </c>
    </row>
    <row r="127" spans="1:5">
      <c r="A127" s="13">
        <v>43374</v>
      </c>
      <c r="B127" t="s">
        <v>213</v>
      </c>
      <c r="C127" t="s">
        <v>216</v>
      </c>
      <c r="D127" s="12">
        <v>135.6</v>
      </c>
      <c r="E127" s="11">
        <v>0.0249433106575962</v>
      </c>
    </row>
    <row r="128" spans="1:5">
      <c r="A128" s="13">
        <v>43374</v>
      </c>
      <c r="B128" t="s">
        <v>215</v>
      </c>
      <c r="C128" t="s">
        <v>216</v>
      </c>
      <c r="D128" s="12">
        <v>137.9</v>
      </c>
      <c r="E128" s="11">
        <v>0.0268056589724496</v>
      </c>
    </row>
    <row r="129" spans="1:5">
      <c r="A129" s="13">
        <v>43374</v>
      </c>
      <c r="B129" t="s">
        <v>221</v>
      </c>
      <c r="C129" t="s">
        <v>218</v>
      </c>
      <c r="D129" s="12">
        <v>152.3</v>
      </c>
      <c r="E129" s="11">
        <v>-0.0039241334205362</v>
      </c>
    </row>
    <row r="130" spans="1:5">
      <c r="A130" s="13">
        <v>43374</v>
      </c>
      <c r="B130" t="s">
        <v>221</v>
      </c>
      <c r="C130" t="s">
        <v>216</v>
      </c>
      <c r="D130" s="12">
        <v>134.1</v>
      </c>
      <c r="E130" s="11">
        <v>0.0244461420932007</v>
      </c>
    </row>
    <row r="131" spans="1:5">
      <c r="A131" s="13">
        <v>43374</v>
      </c>
      <c r="B131" t="s">
        <v>221</v>
      </c>
      <c r="C131" t="s">
        <v>214</v>
      </c>
      <c r="D131" s="12">
        <v>140.7</v>
      </c>
      <c r="E131" s="11">
        <v>0.0107758620689655</v>
      </c>
    </row>
    <row r="132" spans="1:5">
      <c r="A132" s="13">
        <v>43374</v>
      </c>
      <c r="B132" t="s">
        <v>221</v>
      </c>
      <c r="C132" t="s">
        <v>217</v>
      </c>
      <c r="D132" s="12">
        <v>128.3</v>
      </c>
      <c r="E132" s="11">
        <v>0.0665004156275979</v>
      </c>
    </row>
    <row r="133" spans="1:5">
      <c r="A133" s="13">
        <v>43374</v>
      </c>
      <c r="B133" t="s">
        <v>221</v>
      </c>
      <c r="C133" t="s">
        <v>220</v>
      </c>
      <c r="D133" s="12">
        <v>133.6</v>
      </c>
      <c r="E133" s="11">
        <v>0.006024096385542</v>
      </c>
    </row>
    <row r="134" spans="1:5">
      <c r="A134" s="13">
        <v>43374</v>
      </c>
      <c r="B134" t="s">
        <v>221</v>
      </c>
      <c r="C134" t="s">
        <v>219</v>
      </c>
      <c r="D134" s="12">
        <v>157.6</v>
      </c>
      <c r="E134" s="11">
        <v>0.0070287539936102</v>
      </c>
    </row>
    <row r="135" spans="1:5">
      <c r="A135" s="13">
        <v>43405</v>
      </c>
      <c r="B135" t="s">
        <v>215</v>
      </c>
      <c r="C135" t="s">
        <v>216</v>
      </c>
      <c r="D135" s="12">
        <v>137.4</v>
      </c>
      <c r="E135" s="11">
        <v>0.0208023774145618</v>
      </c>
    </row>
    <row r="136" spans="1:5">
      <c r="A136" s="13">
        <v>43405</v>
      </c>
      <c r="B136" t="s">
        <v>213</v>
      </c>
      <c r="C136" t="s">
        <v>217</v>
      </c>
      <c r="D136" s="12">
        <v>134</v>
      </c>
      <c r="E136" s="11">
        <v>0.07717041800643069</v>
      </c>
    </row>
    <row r="137" spans="1:5">
      <c r="A137" s="13">
        <v>43405</v>
      </c>
      <c r="B137" t="s">
        <v>213</v>
      </c>
      <c r="C137" t="s">
        <v>218</v>
      </c>
      <c r="D137" s="12">
        <v>159.1</v>
      </c>
      <c r="E137" s="11">
        <v>0.0140216698534096</v>
      </c>
    </row>
    <row r="138" spans="1:5">
      <c r="A138" s="13">
        <v>43405</v>
      </c>
      <c r="B138" t="s">
        <v>213</v>
      </c>
      <c r="C138" t="s">
        <v>220</v>
      </c>
      <c r="D138" s="12">
        <v>136.2</v>
      </c>
      <c r="E138" s="11">
        <v>0.0279245283018867</v>
      </c>
    </row>
    <row r="139" spans="1:5">
      <c r="A139" s="13">
        <v>43405</v>
      </c>
      <c r="B139" t="s">
        <v>213</v>
      </c>
      <c r="C139" t="s">
        <v>214</v>
      </c>
      <c r="D139" s="12">
        <v>145.3</v>
      </c>
      <c r="E139" s="11">
        <v>0.0203651685393257</v>
      </c>
    </row>
    <row r="140" spans="1:5">
      <c r="A140" s="13">
        <v>43405</v>
      </c>
      <c r="B140" t="s">
        <v>213</v>
      </c>
      <c r="C140" t="s">
        <v>219</v>
      </c>
      <c r="D140" s="12">
        <v>160.4</v>
      </c>
      <c r="E140" s="11">
        <v>0.0037546933667083</v>
      </c>
    </row>
    <row r="141" spans="1:5">
      <c r="A141" s="13">
        <v>43405</v>
      </c>
      <c r="B141" t="s">
        <v>221</v>
      </c>
      <c r="C141" t="s">
        <v>218</v>
      </c>
      <c r="D141" s="12">
        <v>152.2</v>
      </c>
      <c r="E141" s="11">
        <v>0.0039577836411608</v>
      </c>
    </row>
    <row r="142" spans="1:5">
      <c r="A142" s="13">
        <v>43405</v>
      </c>
      <c r="B142" t="s">
        <v>221</v>
      </c>
      <c r="C142" t="s">
        <v>220</v>
      </c>
      <c r="D142" s="12">
        <v>134.9</v>
      </c>
      <c r="E142" s="11">
        <v>0.015813253012048</v>
      </c>
    </row>
    <row r="143" spans="1:5">
      <c r="A143" s="13">
        <v>43405</v>
      </c>
      <c r="B143" t="s">
        <v>221</v>
      </c>
      <c r="C143" t="s">
        <v>219</v>
      </c>
      <c r="D143" s="12">
        <v>158.8</v>
      </c>
      <c r="E143" s="11">
        <v>0.0050632911392405</v>
      </c>
    </row>
    <row r="144" spans="1:5">
      <c r="A144" s="13">
        <v>43405</v>
      </c>
      <c r="B144" t="s">
        <v>221</v>
      </c>
      <c r="C144" t="s">
        <v>214</v>
      </c>
      <c r="D144" s="12">
        <v>142.7</v>
      </c>
      <c r="E144" s="11">
        <v>0.0142146410803127</v>
      </c>
    </row>
    <row r="145" spans="1:5">
      <c r="A145" s="13">
        <v>43405</v>
      </c>
      <c r="B145" t="s">
        <v>221</v>
      </c>
      <c r="C145" t="s">
        <v>216</v>
      </c>
      <c r="D145" s="12">
        <v>133.5</v>
      </c>
      <c r="E145" s="11">
        <v>0.0167555217060166</v>
      </c>
    </row>
    <row r="146" spans="1:5">
      <c r="A146" s="13">
        <v>43405</v>
      </c>
      <c r="B146" t="s">
        <v>221</v>
      </c>
      <c r="C146" t="s">
        <v>217</v>
      </c>
      <c r="D146" s="12">
        <v>136.2</v>
      </c>
      <c r="E146" s="11">
        <v>0.0624024960998439</v>
      </c>
    </row>
    <row r="147" spans="1:5">
      <c r="A147" s="13">
        <v>43405</v>
      </c>
      <c r="B147" t="s">
        <v>213</v>
      </c>
      <c r="C147" t="s">
        <v>216</v>
      </c>
      <c r="D147" s="12">
        <v>135.1</v>
      </c>
      <c r="E147" s="11">
        <v>0.0180859080633006</v>
      </c>
    </row>
    <row r="148" spans="1:5">
      <c r="A148" s="13">
        <v>43435</v>
      </c>
      <c r="B148" t="s">
        <v>213</v>
      </c>
      <c r="C148" t="s">
        <v>214</v>
      </c>
      <c r="D148" s="12">
        <v>148.6</v>
      </c>
      <c r="E148" s="11">
        <v>0.0333796940194712</v>
      </c>
    </row>
    <row r="149" spans="1:5">
      <c r="A149" s="13">
        <v>43435</v>
      </c>
      <c r="B149" t="s">
        <v>215</v>
      </c>
      <c r="C149" t="s">
        <v>216</v>
      </c>
      <c r="D149" s="12">
        <v>137.5</v>
      </c>
      <c r="E149" s="11">
        <v>0.0261194029850746</v>
      </c>
    </row>
    <row r="150" spans="1:5">
      <c r="A150" s="13">
        <v>43435</v>
      </c>
      <c r="B150" t="s">
        <v>213</v>
      </c>
      <c r="C150" t="s">
        <v>217</v>
      </c>
      <c r="D150" s="12">
        <v>147.6</v>
      </c>
      <c r="E150" s="11">
        <v>0.1267175572519083</v>
      </c>
    </row>
    <row r="151" spans="1:5">
      <c r="A151" s="13">
        <v>43435</v>
      </c>
      <c r="B151" t="s">
        <v>213</v>
      </c>
      <c r="C151" t="s">
        <v>218</v>
      </c>
      <c r="D151" s="12">
        <v>161</v>
      </c>
      <c r="E151" s="11">
        <v>0.0254777070063694</v>
      </c>
    </row>
    <row r="152" spans="1:5">
      <c r="A152" s="13">
        <v>43435</v>
      </c>
      <c r="B152" t="s">
        <v>213</v>
      </c>
      <c r="C152" t="s">
        <v>220</v>
      </c>
      <c r="D152" s="12">
        <v>136.6</v>
      </c>
      <c r="E152" s="11">
        <v>0.0216903515332835</v>
      </c>
    </row>
    <row r="153" spans="1:5">
      <c r="A153" s="13">
        <v>43435</v>
      </c>
      <c r="B153" t="s">
        <v>213</v>
      </c>
      <c r="C153" t="s">
        <v>219</v>
      </c>
      <c r="D153" s="12">
        <v>160.1</v>
      </c>
      <c r="E153" s="11">
        <v>-0.0006242197253433</v>
      </c>
    </row>
    <row r="154" spans="1:5">
      <c r="A154" s="13">
        <v>43435</v>
      </c>
      <c r="B154" t="s">
        <v>213</v>
      </c>
      <c r="C154" t="s">
        <v>216</v>
      </c>
      <c r="D154" s="12">
        <v>135</v>
      </c>
      <c r="E154" s="11">
        <v>0.0227272727272727</v>
      </c>
    </row>
    <row r="155" spans="1:5">
      <c r="A155" s="13">
        <v>43435</v>
      </c>
      <c r="B155" t="s">
        <v>221</v>
      </c>
      <c r="C155" t="s">
        <v>218</v>
      </c>
      <c r="D155" s="12">
        <v>153.7</v>
      </c>
      <c r="E155" s="11">
        <v>0.009192383453709501</v>
      </c>
    </row>
    <row r="156" spans="1:5">
      <c r="A156" s="13">
        <v>43435</v>
      </c>
      <c r="B156" t="s">
        <v>221</v>
      </c>
      <c r="C156" t="s">
        <v>220</v>
      </c>
      <c r="D156" s="12">
        <v>135.7</v>
      </c>
      <c r="E156" s="11">
        <v>0.0149588631264023</v>
      </c>
    </row>
    <row r="157" spans="1:5">
      <c r="A157" s="13">
        <v>43435</v>
      </c>
      <c r="B157" t="s">
        <v>221</v>
      </c>
      <c r="C157" t="s">
        <v>219</v>
      </c>
      <c r="D157" s="12">
        <v>158.3</v>
      </c>
      <c r="E157" s="11">
        <v>0.0063572790845518</v>
      </c>
    </row>
    <row r="158" spans="1:5">
      <c r="A158" s="13">
        <v>43435</v>
      </c>
      <c r="B158" t="s">
        <v>221</v>
      </c>
      <c r="C158" t="s">
        <v>214</v>
      </c>
      <c r="D158" s="12">
        <v>144.8</v>
      </c>
      <c r="E158" s="11">
        <v>0.024769992922859</v>
      </c>
    </row>
    <row r="159" spans="1:5">
      <c r="A159" s="13">
        <v>43435</v>
      </c>
      <c r="B159" t="s">
        <v>221</v>
      </c>
      <c r="C159" t="s">
        <v>216</v>
      </c>
      <c r="D159" s="12">
        <v>133.4</v>
      </c>
      <c r="E159" s="11">
        <v>0.0198776758409784</v>
      </c>
    </row>
    <row r="160" spans="1:5">
      <c r="A160" s="13">
        <v>43435</v>
      </c>
      <c r="B160" t="s">
        <v>221</v>
      </c>
      <c r="C160" t="s">
        <v>217</v>
      </c>
      <c r="D160" s="12">
        <v>146.2</v>
      </c>
      <c r="E160" s="11">
        <v>0.1000752445447703</v>
      </c>
    </row>
    <row r="161" spans="1:5">
      <c r="A161" s="13">
        <v>43466</v>
      </c>
      <c r="B161" t="s">
        <v>215</v>
      </c>
      <c r="C161" t="s">
        <v>216</v>
      </c>
      <c r="D161" s="12">
        <v>137.7</v>
      </c>
      <c r="E161" s="11">
        <v>0.0177383592017736</v>
      </c>
    </row>
    <row r="162" spans="1:5">
      <c r="A162" s="13">
        <v>43466</v>
      </c>
      <c r="B162" t="s">
        <v>213</v>
      </c>
      <c r="C162" t="s">
        <v>217</v>
      </c>
      <c r="D162" s="12">
        <v>149.8</v>
      </c>
      <c r="E162" s="11">
        <v>0.0847212165097757</v>
      </c>
    </row>
    <row r="163" spans="1:5">
      <c r="A163" s="13">
        <v>43466</v>
      </c>
      <c r="B163" t="s">
        <v>213</v>
      </c>
      <c r="C163" t="s">
        <v>218</v>
      </c>
      <c r="D163" s="12">
        <v>160.5</v>
      </c>
      <c r="E163" s="11">
        <v>0.0281870595771942</v>
      </c>
    </row>
    <row r="164" spans="1:5">
      <c r="A164" s="13">
        <v>43466</v>
      </c>
      <c r="B164" t="s">
        <v>213</v>
      </c>
      <c r="C164" t="s">
        <v>220</v>
      </c>
      <c r="D164" s="12">
        <v>138.5</v>
      </c>
      <c r="E164" s="11">
        <v>0.0328113348247576</v>
      </c>
    </row>
    <row r="165" spans="1:5">
      <c r="A165" s="13">
        <v>43466</v>
      </c>
      <c r="B165" t="s">
        <v>213</v>
      </c>
      <c r="C165" t="s">
        <v>219</v>
      </c>
      <c r="D165" s="12">
        <v>162.4</v>
      </c>
      <c r="E165" s="11">
        <v>0.0284990500316655</v>
      </c>
    </row>
    <row r="166" spans="1:5">
      <c r="A166" s="13">
        <v>43466</v>
      </c>
      <c r="B166" t="s">
        <v>213</v>
      </c>
      <c r="C166" t="s">
        <v>214</v>
      </c>
      <c r="D166" s="12">
        <v>150.1</v>
      </c>
      <c r="E166" s="11">
        <v>0.0316151202749139</v>
      </c>
    </row>
    <row r="167" spans="1:5">
      <c r="A167" s="13">
        <v>43466</v>
      </c>
      <c r="B167" t="s">
        <v>213</v>
      </c>
      <c r="C167" t="s">
        <v>216</v>
      </c>
      <c r="D167" s="12">
        <v>135.2</v>
      </c>
      <c r="E167" s="11">
        <v>0.015015015015015</v>
      </c>
    </row>
    <row r="168" spans="1:5">
      <c r="A168" s="13">
        <v>43466</v>
      </c>
      <c r="B168" t="s">
        <v>221</v>
      </c>
      <c r="C168" t="s">
        <v>218</v>
      </c>
      <c r="D168" s="12">
        <v>153.8</v>
      </c>
      <c r="E168" s="11">
        <v>0.0185430463576159</v>
      </c>
    </row>
    <row r="169" spans="1:5">
      <c r="A169" s="13">
        <v>43466</v>
      </c>
      <c r="B169" t="s">
        <v>221</v>
      </c>
      <c r="C169" t="s">
        <v>220</v>
      </c>
      <c r="D169" s="12">
        <v>135.9</v>
      </c>
      <c r="E169" s="11">
        <v>0.014179104477612</v>
      </c>
    </row>
    <row r="170" spans="1:5">
      <c r="A170" s="13">
        <v>43466</v>
      </c>
      <c r="B170" t="s">
        <v>221</v>
      </c>
      <c r="C170" t="s">
        <v>219</v>
      </c>
      <c r="D170" s="12">
        <v>159.8</v>
      </c>
      <c r="E170" s="11">
        <v>0.0230473751600512</v>
      </c>
    </row>
    <row r="171" spans="1:5">
      <c r="A171" s="13">
        <v>43466</v>
      </c>
      <c r="B171" t="s">
        <v>221</v>
      </c>
      <c r="C171" t="s">
        <v>214</v>
      </c>
      <c r="D171" s="12">
        <v>146.1</v>
      </c>
      <c r="E171" s="11">
        <v>0.0245441795231415</v>
      </c>
    </row>
    <row r="172" spans="1:5">
      <c r="A172" s="13">
        <v>43466</v>
      </c>
      <c r="B172" t="s">
        <v>221</v>
      </c>
      <c r="C172" t="s">
        <v>216</v>
      </c>
      <c r="D172" s="12">
        <v>133.6</v>
      </c>
      <c r="E172" s="11">
        <v>0.0144267274107821</v>
      </c>
    </row>
    <row r="173" spans="1:5">
      <c r="A173" s="13">
        <v>43466</v>
      </c>
      <c r="B173" t="s">
        <v>221</v>
      </c>
      <c r="C173" t="s">
        <v>217</v>
      </c>
      <c r="D173" s="12">
        <v>147.9</v>
      </c>
      <c r="E173" s="11">
        <v>0.0701881331403764</v>
      </c>
    </row>
    <row r="174" spans="1:5">
      <c r="A174" s="13">
        <v>43497</v>
      </c>
      <c r="B174" t="s">
        <v>213</v>
      </c>
      <c r="C174" t="s">
        <v>219</v>
      </c>
      <c r="D174" s="12">
        <v>162.5</v>
      </c>
      <c r="E174" s="11">
        <v>0.0194479297365119</v>
      </c>
    </row>
    <row r="175" spans="1:5">
      <c r="A175" s="13">
        <v>43497</v>
      </c>
      <c r="B175" t="s">
        <v>215</v>
      </c>
      <c r="C175" t="s">
        <v>216</v>
      </c>
      <c r="D175" s="12">
        <v>138.6</v>
      </c>
      <c r="E175" s="11">
        <v>0.0191176470588234</v>
      </c>
    </row>
    <row r="176" spans="1:5">
      <c r="A176" s="13">
        <v>43497</v>
      </c>
      <c r="B176" t="s">
        <v>213</v>
      </c>
      <c r="C176" t="s">
        <v>217</v>
      </c>
      <c r="D176" s="12">
        <v>149.8</v>
      </c>
      <c r="E176" s="11">
        <v>0.1137546468401486</v>
      </c>
    </row>
    <row r="177" spans="1:5">
      <c r="A177" s="13">
        <v>43497</v>
      </c>
      <c r="B177" t="s">
        <v>213</v>
      </c>
      <c r="C177" t="s">
        <v>218</v>
      </c>
      <c r="D177" s="12">
        <v>162.2</v>
      </c>
      <c r="E177" s="11">
        <v>0.0285351934051998</v>
      </c>
    </row>
    <row r="178" spans="1:5">
      <c r="A178" s="13">
        <v>43497</v>
      </c>
      <c r="B178" t="s">
        <v>213</v>
      </c>
      <c r="C178" t="s">
        <v>220</v>
      </c>
      <c r="D178" s="12">
        <v>138.8</v>
      </c>
      <c r="E178" s="11">
        <v>0.0436090225563909</v>
      </c>
    </row>
    <row r="179" spans="1:5">
      <c r="A179" s="13">
        <v>43497</v>
      </c>
      <c r="B179" t="s">
        <v>213</v>
      </c>
      <c r="C179" t="s">
        <v>216</v>
      </c>
      <c r="D179" s="12">
        <v>136</v>
      </c>
      <c r="E179" s="11">
        <v>0.0149253731343284</v>
      </c>
    </row>
    <row r="180" spans="1:5">
      <c r="A180" s="13">
        <v>43497</v>
      </c>
      <c r="B180" t="s">
        <v>213</v>
      </c>
      <c r="C180" t="s">
        <v>214</v>
      </c>
      <c r="D180" s="12">
        <v>151</v>
      </c>
      <c r="E180" s="11">
        <v>0.0428176795580108</v>
      </c>
    </row>
    <row r="181" spans="1:5">
      <c r="A181" s="13">
        <v>43497</v>
      </c>
      <c r="B181" t="s">
        <v>221</v>
      </c>
      <c r="C181" t="s">
        <v>217</v>
      </c>
      <c r="D181" s="12">
        <v>149</v>
      </c>
      <c r="E181" s="11">
        <v>0.0963944076526857</v>
      </c>
    </row>
    <row r="182" spans="1:5">
      <c r="A182" s="13">
        <v>43497</v>
      </c>
      <c r="B182" t="s">
        <v>221</v>
      </c>
      <c r="C182" t="s">
        <v>218</v>
      </c>
      <c r="D182" s="12">
        <v>155.1</v>
      </c>
      <c r="E182" s="11">
        <v>0.0203947368421051</v>
      </c>
    </row>
    <row r="183" spans="1:5">
      <c r="A183" s="13">
        <v>43497</v>
      </c>
      <c r="B183" t="s">
        <v>221</v>
      </c>
      <c r="C183" t="s">
        <v>220</v>
      </c>
      <c r="D183" s="12">
        <v>137.6</v>
      </c>
      <c r="E183" s="11">
        <v>0.0260999254287845</v>
      </c>
    </row>
    <row r="184" spans="1:5">
      <c r="A184" s="13">
        <v>43497</v>
      </c>
      <c r="B184" t="s">
        <v>221</v>
      </c>
      <c r="C184" t="s">
        <v>219</v>
      </c>
      <c r="D184" s="12">
        <v>159.4</v>
      </c>
      <c r="E184" s="11">
        <v>0.0172303765156349</v>
      </c>
    </row>
    <row r="185" spans="1:5">
      <c r="A185" s="13">
        <v>43497</v>
      </c>
      <c r="B185" t="s">
        <v>221</v>
      </c>
      <c r="C185" t="s">
        <v>214</v>
      </c>
      <c r="D185" s="12">
        <v>147.1</v>
      </c>
      <c r="E185" s="11">
        <v>0.0337315530569217</v>
      </c>
    </row>
    <row r="186" spans="1:5">
      <c r="A186" s="13">
        <v>43497</v>
      </c>
      <c r="B186" t="s">
        <v>221</v>
      </c>
      <c r="C186" t="s">
        <v>216</v>
      </c>
      <c r="D186" s="12">
        <v>134.5</v>
      </c>
      <c r="E186" s="11">
        <v>0.0150943396226415</v>
      </c>
    </row>
    <row r="187" spans="1:5">
      <c r="A187" s="13">
        <v>43525</v>
      </c>
      <c r="B187" t="s">
        <v>215</v>
      </c>
      <c r="C187" t="s">
        <v>216</v>
      </c>
      <c r="D187" s="12">
        <v>139.5</v>
      </c>
      <c r="E187" s="11">
        <v>0.0204828090709583</v>
      </c>
    </row>
    <row r="188" spans="1:5">
      <c r="A188" s="13">
        <v>43525</v>
      </c>
      <c r="B188" t="s">
        <v>213</v>
      </c>
      <c r="C188" t="s">
        <v>217</v>
      </c>
      <c r="D188" s="12">
        <v>149.1</v>
      </c>
      <c r="E188" s="11">
        <v>0.137299771167048</v>
      </c>
    </row>
    <row r="189" spans="1:5">
      <c r="A189" s="13">
        <v>43525</v>
      </c>
      <c r="B189" t="s">
        <v>213</v>
      </c>
      <c r="C189" t="s">
        <v>218</v>
      </c>
      <c r="D189" s="12">
        <v>161</v>
      </c>
      <c r="E189" s="11">
        <v>0.0287539936102236</v>
      </c>
    </row>
    <row r="190" spans="1:5">
      <c r="A190" s="13">
        <v>43525</v>
      </c>
      <c r="B190" t="s">
        <v>213</v>
      </c>
      <c r="C190" t="s">
        <v>220</v>
      </c>
      <c r="D190" s="12">
        <v>138.6</v>
      </c>
      <c r="E190" s="11">
        <v>0.0421052631578946</v>
      </c>
    </row>
    <row r="191" spans="1:5">
      <c r="A191" s="13">
        <v>43525</v>
      </c>
      <c r="B191" t="s">
        <v>213</v>
      </c>
      <c r="C191" t="s">
        <v>219</v>
      </c>
      <c r="D191" s="12">
        <v>161.2</v>
      </c>
      <c r="E191" s="11">
        <v>0.0228426395939085</v>
      </c>
    </row>
    <row r="192" spans="1:5">
      <c r="A192" s="13">
        <v>43525</v>
      </c>
      <c r="B192" t="s">
        <v>213</v>
      </c>
      <c r="C192" t="s">
        <v>214</v>
      </c>
      <c r="D192" s="12">
        <v>150.4</v>
      </c>
      <c r="E192" s="11">
        <v>0.0473537604456826</v>
      </c>
    </row>
    <row r="193" spans="1:5">
      <c r="A193" s="13">
        <v>43525</v>
      </c>
      <c r="B193" t="s">
        <v>213</v>
      </c>
      <c r="C193" t="s">
        <v>216</v>
      </c>
      <c r="D193" s="12">
        <v>137</v>
      </c>
      <c r="E193" s="11">
        <v>0.0178306092124813</v>
      </c>
    </row>
    <row r="194" spans="1:5">
      <c r="A194" s="13">
        <v>43525</v>
      </c>
      <c r="B194" t="s">
        <v>221</v>
      </c>
      <c r="C194" t="s">
        <v>217</v>
      </c>
      <c r="D194" s="12">
        <v>149.3</v>
      </c>
      <c r="E194" s="11">
        <v>0.1250941974378299</v>
      </c>
    </row>
    <row r="195" spans="1:5">
      <c r="A195" s="13">
        <v>43525</v>
      </c>
      <c r="B195" t="s">
        <v>221</v>
      </c>
      <c r="C195" t="s">
        <v>220</v>
      </c>
      <c r="D195" s="12">
        <v>137.1</v>
      </c>
      <c r="E195" s="11">
        <v>0.0246636771300448</v>
      </c>
    </row>
    <row r="196" spans="1:5">
      <c r="A196" s="13">
        <v>43525</v>
      </c>
      <c r="B196" t="s">
        <v>221</v>
      </c>
      <c r="C196" t="s">
        <v>219</v>
      </c>
      <c r="D196" s="12">
        <v>158.9</v>
      </c>
      <c r="E196" s="11">
        <v>0.0185897435897435</v>
      </c>
    </row>
    <row r="197" spans="1:5">
      <c r="A197" s="13">
        <v>43525</v>
      </c>
      <c r="B197" t="s">
        <v>221</v>
      </c>
      <c r="C197" t="s">
        <v>214</v>
      </c>
      <c r="D197" s="12">
        <v>147</v>
      </c>
      <c r="E197" s="11">
        <v>0.0403397027600849</v>
      </c>
    </row>
    <row r="198" spans="1:5">
      <c r="A198" s="13">
        <v>43525</v>
      </c>
      <c r="B198" t="s">
        <v>221</v>
      </c>
      <c r="C198" t="s">
        <v>216</v>
      </c>
      <c r="D198" s="12">
        <v>135.4</v>
      </c>
      <c r="E198" s="11">
        <v>0.0188111361926259</v>
      </c>
    </row>
    <row r="199" spans="1:5">
      <c r="A199" s="13">
        <v>43525</v>
      </c>
      <c r="B199" t="s">
        <v>221</v>
      </c>
      <c r="C199" t="s">
        <v>218</v>
      </c>
      <c r="D199" s="12">
        <v>154.1</v>
      </c>
      <c r="E199" s="11">
        <v>0.0198544010589014</v>
      </c>
    </row>
    <row r="200" spans="1:5">
      <c r="A200" s="13">
        <v>43556</v>
      </c>
      <c r="B200" t="s">
        <v>213</v>
      </c>
      <c r="C200" t="s">
        <v>217</v>
      </c>
      <c r="D200" s="12">
        <v>150.1</v>
      </c>
      <c r="E200" s="11">
        <v>0.1319758672699849</v>
      </c>
    </row>
    <row r="201" spans="1:5">
      <c r="A201" s="13">
        <v>43556</v>
      </c>
      <c r="B201" t="s">
        <v>213</v>
      </c>
      <c r="C201" t="s">
        <v>218</v>
      </c>
      <c r="D201" s="12">
        <v>159.5</v>
      </c>
      <c r="E201" s="11">
        <v>0.020473448496481</v>
      </c>
    </row>
    <row r="202" spans="1:5">
      <c r="A202" s="13">
        <v>43556</v>
      </c>
      <c r="B202" t="s">
        <v>213</v>
      </c>
      <c r="C202" t="s">
        <v>220</v>
      </c>
      <c r="D202" s="12">
        <v>137.6</v>
      </c>
      <c r="E202" s="11">
        <v>0.0291697830964847</v>
      </c>
    </row>
    <row r="203" spans="1:5">
      <c r="A203" s="13">
        <v>43556</v>
      </c>
      <c r="B203" t="s">
        <v>213</v>
      </c>
      <c r="C203" t="s">
        <v>219</v>
      </c>
      <c r="D203" s="12">
        <v>161.1</v>
      </c>
      <c r="E203" s="11">
        <v>0.0100313479623823</v>
      </c>
    </row>
    <row r="204" spans="1:5">
      <c r="A204" s="13">
        <v>43556</v>
      </c>
      <c r="B204" t="s">
        <v>221</v>
      </c>
      <c r="C204" t="s">
        <v>216</v>
      </c>
      <c r="D204" s="12">
        <v>136</v>
      </c>
      <c r="E204" s="11">
        <v>0.0202550637659413</v>
      </c>
    </row>
    <row r="205" spans="1:5">
      <c r="A205" s="13">
        <v>43556</v>
      </c>
      <c r="B205" t="s">
        <v>215</v>
      </c>
      <c r="C205" t="s">
        <v>216</v>
      </c>
      <c r="D205" s="12">
        <v>139.8</v>
      </c>
      <c r="E205" s="11">
        <v>0.0219298245614034</v>
      </c>
    </row>
    <row r="206" spans="1:5">
      <c r="A206" s="13">
        <v>43556</v>
      </c>
      <c r="B206" t="s">
        <v>221</v>
      </c>
      <c r="C206" t="s">
        <v>214</v>
      </c>
      <c r="D206" s="12">
        <v>146.1</v>
      </c>
      <c r="E206" s="11">
        <v>0.029598308668076</v>
      </c>
    </row>
    <row r="207" spans="1:5">
      <c r="A207" s="13">
        <v>43556</v>
      </c>
      <c r="B207" t="s">
        <v>221</v>
      </c>
      <c r="C207" t="s">
        <v>218</v>
      </c>
      <c r="D207" s="12">
        <v>152.4</v>
      </c>
      <c r="E207" s="11">
        <v>0.0059405940594059</v>
      </c>
    </row>
    <row r="208" spans="1:5">
      <c r="A208" s="13">
        <v>43556</v>
      </c>
      <c r="B208" t="s">
        <v>221</v>
      </c>
      <c r="C208" t="s">
        <v>220</v>
      </c>
      <c r="D208" s="12">
        <v>136.3</v>
      </c>
      <c r="E208" s="11">
        <v>0.0194465220643231</v>
      </c>
    </row>
    <row r="209" spans="1:5">
      <c r="A209" s="13">
        <v>43556</v>
      </c>
      <c r="B209" t="s">
        <v>221</v>
      </c>
      <c r="C209" t="s">
        <v>217</v>
      </c>
      <c r="D209" s="12">
        <v>147.5</v>
      </c>
      <c r="E209" s="11">
        <v>0.1148904006046862</v>
      </c>
    </row>
    <row r="210" spans="1:5">
      <c r="A210" s="13">
        <v>43556</v>
      </c>
      <c r="B210" t="s">
        <v>213</v>
      </c>
      <c r="C210" t="s">
        <v>216</v>
      </c>
      <c r="D210" s="12">
        <v>137.4</v>
      </c>
      <c r="E210" s="11">
        <v>0.0192878338278932</v>
      </c>
    </row>
    <row r="211" spans="1:5">
      <c r="A211" s="13">
        <v>43556</v>
      </c>
      <c r="B211" t="s">
        <v>221</v>
      </c>
      <c r="C211" t="s">
        <v>219</v>
      </c>
      <c r="D211" s="12">
        <v>159.3</v>
      </c>
      <c r="E211" s="11">
        <v>0.0069532237673832</v>
      </c>
    </row>
    <row r="212" spans="1:5">
      <c r="A212" s="13">
        <v>43556</v>
      </c>
      <c r="B212" t="s">
        <v>213</v>
      </c>
      <c r="C212" t="s">
        <v>214</v>
      </c>
      <c r="D212" s="12">
        <v>150</v>
      </c>
      <c r="E212" s="11">
        <v>0.037344398340249</v>
      </c>
    </row>
    <row r="213" spans="1:5">
      <c r="A213" s="13">
        <v>43586</v>
      </c>
      <c r="B213" t="s">
        <v>215</v>
      </c>
      <c r="C213" t="s">
        <v>216</v>
      </c>
      <c r="D213" s="12">
        <v>140.3</v>
      </c>
      <c r="E213" s="11">
        <v>0.0263350402340893</v>
      </c>
    </row>
    <row r="214" spans="1:5">
      <c r="A214" s="13">
        <v>43586</v>
      </c>
      <c r="B214" t="s">
        <v>213</v>
      </c>
      <c r="C214" t="s">
        <v>217</v>
      </c>
      <c r="D214" s="12">
        <v>150.1</v>
      </c>
      <c r="E214" s="11">
        <v>0.1251874062968514</v>
      </c>
    </row>
    <row r="215" spans="1:5">
      <c r="A215" s="13">
        <v>43586</v>
      </c>
      <c r="B215" t="s">
        <v>213</v>
      </c>
      <c r="C215" t="s">
        <v>218</v>
      </c>
      <c r="D215" s="12">
        <v>162.8</v>
      </c>
      <c r="E215" s="11">
        <v>0.0303797468354432</v>
      </c>
    </row>
    <row r="216" spans="1:5">
      <c r="A216" s="13">
        <v>43586</v>
      </c>
      <c r="B216" t="s">
        <v>213</v>
      </c>
      <c r="C216" t="s">
        <v>220</v>
      </c>
      <c r="D216" s="12">
        <v>139.6</v>
      </c>
      <c r="E216" s="11">
        <v>0.0543806646525679</v>
      </c>
    </row>
    <row r="217" spans="1:5">
      <c r="A217" s="13">
        <v>43586</v>
      </c>
      <c r="B217" t="s">
        <v>213</v>
      </c>
      <c r="C217" t="s">
        <v>219</v>
      </c>
      <c r="D217" s="12">
        <v>163.7</v>
      </c>
      <c r="E217" s="11">
        <v>0.0321563682219419</v>
      </c>
    </row>
    <row r="218" spans="1:5">
      <c r="A218" s="13">
        <v>43586</v>
      </c>
      <c r="B218" t="s">
        <v>213</v>
      </c>
      <c r="C218" t="s">
        <v>214</v>
      </c>
      <c r="D218" s="12">
        <v>151.5</v>
      </c>
      <c r="E218" s="11">
        <v>0.0520833333333332</v>
      </c>
    </row>
    <row r="219" spans="1:5">
      <c r="A219" s="13">
        <v>43586</v>
      </c>
      <c r="B219" t="s">
        <v>221</v>
      </c>
      <c r="C219" t="s">
        <v>217</v>
      </c>
      <c r="D219" s="12">
        <v>147.1</v>
      </c>
      <c r="E219" s="11">
        <v>0.1026986506746625</v>
      </c>
    </row>
    <row r="220" spans="1:5">
      <c r="A220" s="13">
        <v>43586</v>
      </c>
      <c r="B220" t="s">
        <v>221</v>
      </c>
      <c r="C220" t="s">
        <v>218</v>
      </c>
      <c r="D220" s="12">
        <v>154.8</v>
      </c>
      <c r="E220" s="11">
        <v>0.0211081794195251</v>
      </c>
    </row>
    <row r="221" spans="1:5">
      <c r="A221" s="13">
        <v>43586</v>
      </c>
      <c r="B221" t="s">
        <v>221</v>
      </c>
      <c r="C221" t="s">
        <v>220</v>
      </c>
      <c r="D221" s="12">
        <v>137.8</v>
      </c>
      <c r="E221" s="11">
        <v>0.0314371257485031</v>
      </c>
    </row>
    <row r="222" spans="1:5">
      <c r="A222" s="13">
        <v>43586</v>
      </c>
      <c r="B222" t="s">
        <v>221</v>
      </c>
      <c r="C222" t="s">
        <v>219</v>
      </c>
      <c r="D222" s="12">
        <v>160.9</v>
      </c>
      <c r="E222" s="11">
        <v>0.0294305822136915</v>
      </c>
    </row>
    <row r="223" spans="1:5">
      <c r="A223" s="13">
        <v>43586</v>
      </c>
      <c r="B223" t="s">
        <v>221</v>
      </c>
      <c r="C223" t="s">
        <v>214</v>
      </c>
      <c r="D223" s="12">
        <v>147.1</v>
      </c>
      <c r="E223" s="11">
        <v>0.0403111739745403</v>
      </c>
    </row>
    <row r="224" spans="1:5">
      <c r="A224" s="13">
        <v>43586</v>
      </c>
      <c r="B224" t="s">
        <v>221</v>
      </c>
      <c r="C224" t="s">
        <v>216</v>
      </c>
      <c r="D224" s="12">
        <v>136.6</v>
      </c>
      <c r="E224" s="11">
        <v>0.0239880059970014</v>
      </c>
    </row>
    <row r="225" spans="1:5">
      <c r="A225" s="13">
        <v>43586</v>
      </c>
      <c r="B225" t="s">
        <v>213</v>
      </c>
      <c r="C225" t="s">
        <v>216</v>
      </c>
      <c r="D225" s="12">
        <v>138.1</v>
      </c>
      <c r="E225" s="11">
        <v>0.023721275018532</v>
      </c>
    </row>
    <row r="226" spans="1:5">
      <c r="A226" s="13">
        <v>43617</v>
      </c>
      <c r="B226" t="s">
        <v>221</v>
      </c>
      <c r="C226" t="s">
        <v>216</v>
      </c>
      <c r="D226" s="12">
        <v>136.3</v>
      </c>
      <c r="E226" s="11">
        <v>0.0202095808383235</v>
      </c>
    </row>
    <row r="227" spans="1:5">
      <c r="A227" s="13">
        <v>43617</v>
      </c>
      <c r="B227" t="s">
        <v>221</v>
      </c>
      <c r="C227" t="s">
        <v>214</v>
      </c>
      <c r="D227" s="12">
        <v>148.3</v>
      </c>
      <c r="E227" s="11">
        <v>0.0392431674842328</v>
      </c>
    </row>
    <row r="228" spans="1:5">
      <c r="A228" s="13">
        <v>43617</v>
      </c>
      <c r="B228" t="s">
        <v>213</v>
      </c>
      <c r="C228" t="s">
        <v>217</v>
      </c>
      <c r="D228" s="12">
        <v>155.7</v>
      </c>
      <c r="E228" s="11">
        <v>0.1201438848920861</v>
      </c>
    </row>
    <row r="229" spans="1:5">
      <c r="A229" s="13">
        <v>43617</v>
      </c>
      <c r="B229" t="s">
        <v>221</v>
      </c>
      <c r="C229" t="s">
        <v>220</v>
      </c>
      <c r="D229" s="12">
        <v>136.2</v>
      </c>
      <c r="E229" s="11">
        <v>0.0217554388597147</v>
      </c>
    </row>
    <row r="230" spans="1:5">
      <c r="A230" s="13">
        <v>43617</v>
      </c>
      <c r="B230" t="s">
        <v>221</v>
      </c>
      <c r="C230" t="s">
        <v>218</v>
      </c>
      <c r="D230" s="12">
        <v>154.4</v>
      </c>
      <c r="E230" s="11">
        <v>0.0211640211640213</v>
      </c>
    </row>
    <row r="231" spans="1:5">
      <c r="A231" s="13">
        <v>43617</v>
      </c>
      <c r="B231" t="s">
        <v>221</v>
      </c>
      <c r="C231" t="s">
        <v>217</v>
      </c>
      <c r="D231" s="12">
        <v>153.5</v>
      </c>
      <c r="E231" s="11">
        <v>0.1083032490974729</v>
      </c>
    </row>
    <row r="232" spans="1:5">
      <c r="A232" s="13">
        <v>43617</v>
      </c>
      <c r="B232" t="s">
        <v>213</v>
      </c>
      <c r="C232" t="s">
        <v>216</v>
      </c>
      <c r="D232" s="12">
        <v>138</v>
      </c>
      <c r="E232" s="11">
        <v>0.0199556541019954</v>
      </c>
    </row>
    <row r="233" spans="1:5">
      <c r="A233" s="13">
        <v>43617</v>
      </c>
      <c r="B233" t="s">
        <v>213</v>
      </c>
      <c r="C233" t="s">
        <v>214</v>
      </c>
      <c r="D233" s="12">
        <v>152.7</v>
      </c>
      <c r="E233" s="11">
        <v>0.0444596443228453</v>
      </c>
    </row>
    <row r="234" spans="1:5">
      <c r="A234" s="13">
        <v>43617</v>
      </c>
      <c r="B234" t="s">
        <v>213</v>
      </c>
      <c r="C234" t="s">
        <v>219</v>
      </c>
      <c r="D234" s="12">
        <v>167.2</v>
      </c>
      <c r="E234" s="11">
        <v>0.0404480398257622</v>
      </c>
    </row>
    <row r="235" spans="1:5">
      <c r="A235" s="13">
        <v>43617</v>
      </c>
      <c r="B235" t="s">
        <v>213</v>
      </c>
      <c r="C235" t="s">
        <v>220</v>
      </c>
      <c r="D235" s="12">
        <v>139.1</v>
      </c>
      <c r="E235" s="11">
        <v>0.0411676646706586</v>
      </c>
    </row>
    <row r="236" spans="1:5">
      <c r="A236" s="13">
        <v>43617</v>
      </c>
      <c r="B236" t="s">
        <v>213</v>
      </c>
      <c r="C236" t="s">
        <v>218</v>
      </c>
      <c r="D236" s="12">
        <v>161</v>
      </c>
      <c r="E236" s="11">
        <v>0.0209258084971466</v>
      </c>
    </row>
    <row r="237" spans="1:5">
      <c r="A237" s="13">
        <v>43617</v>
      </c>
      <c r="B237" t="s">
        <v>215</v>
      </c>
      <c r="C237" t="s">
        <v>216</v>
      </c>
      <c r="D237" s="12">
        <v>140.3</v>
      </c>
      <c r="E237" s="11">
        <v>0.0203636363636363</v>
      </c>
    </row>
    <row r="238" spans="1:5">
      <c r="A238" s="13">
        <v>43617</v>
      </c>
      <c r="B238" t="s">
        <v>221</v>
      </c>
      <c r="C238" t="s">
        <v>219</v>
      </c>
      <c r="D238" s="12">
        <v>163.8</v>
      </c>
      <c r="E238" s="11">
        <v>0.0393401015228427</v>
      </c>
    </row>
    <row r="239" spans="1:5">
      <c r="A239" s="13">
        <v>43647</v>
      </c>
      <c r="B239" t="s">
        <v>215</v>
      </c>
      <c r="C239" t="s">
        <v>216</v>
      </c>
      <c r="D239" s="12">
        <v>141.2</v>
      </c>
      <c r="E239" s="11">
        <v>0.0231884057971014</v>
      </c>
    </row>
    <row r="240" spans="1:5">
      <c r="A240" s="13">
        <v>43647</v>
      </c>
      <c r="B240" t="s">
        <v>213</v>
      </c>
      <c r="C240" t="s">
        <v>217</v>
      </c>
      <c r="D240" s="12">
        <v>153.1</v>
      </c>
      <c r="E240" s="11">
        <v>0.07288016818500349</v>
      </c>
    </row>
    <row r="241" spans="1:5">
      <c r="A241" s="13">
        <v>43647</v>
      </c>
      <c r="B241" t="s">
        <v>213</v>
      </c>
      <c r="C241" t="s">
        <v>218</v>
      </c>
      <c r="D241" s="12">
        <v>163.1</v>
      </c>
      <c r="E241" s="11">
        <v>0.0375318066157761</v>
      </c>
    </row>
    <row r="242" spans="1:5">
      <c r="A242" s="13">
        <v>43647</v>
      </c>
      <c r="B242" t="s">
        <v>213</v>
      </c>
      <c r="C242" t="s">
        <v>220</v>
      </c>
      <c r="D242" s="12">
        <v>139.2</v>
      </c>
      <c r="E242" s="11">
        <v>0.0341753343239226</v>
      </c>
    </row>
    <row r="243" spans="1:5">
      <c r="A243" s="13">
        <v>43647</v>
      </c>
      <c r="B243" t="s">
        <v>213</v>
      </c>
      <c r="C243" t="s">
        <v>219</v>
      </c>
      <c r="D243" s="12">
        <v>168.4</v>
      </c>
      <c r="E243" s="11">
        <v>0.0401482396541075</v>
      </c>
    </row>
    <row r="244" spans="1:5">
      <c r="A244" s="13">
        <v>43647</v>
      </c>
      <c r="B244" t="s">
        <v>213</v>
      </c>
      <c r="C244" t="s">
        <v>214</v>
      </c>
      <c r="D244" s="12">
        <v>152.7</v>
      </c>
      <c r="E244" s="11">
        <v>0.0394826412525526</v>
      </c>
    </row>
    <row r="245" spans="1:5">
      <c r="A245" s="13">
        <v>43647</v>
      </c>
      <c r="B245" t="s">
        <v>221</v>
      </c>
      <c r="C245" t="s">
        <v>218</v>
      </c>
      <c r="D245" s="12">
        <v>156</v>
      </c>
      <c r="E245" s="11">
        <v>0.0310641110376734</v>
      </c>
    </row>
    <row r="246" spans="1:5">
      <c r="A246" s="13">
        <v>43647</v>
      </c>
      <c r="B246" t="s">
        <v>221</v>
      </c>
      <c r="C246" t="s">
        <v>217</v>
      </c>
      <c r="D246" s="12">
        <v>152.5</v>
      </c>
      <c r="E246" s="11">
        <v>0.0830965909090908</v>
      </c>
    </row>
    <row r="247" spans="1:5">
      <c r="A247" s="13">
        <v>43647</v>
      </c>
      <c r="B247" t="s">
        <v>221</v>
      </c>
      <c r="C247" t="s">
        <v>220</v>
      </c>
      <c r="D247" s="12">
        <v>137.7</v>
      </c>
      <c r="E247" s="11">
        <v>0.0314606741573033</v>
      </c>
    </row>
    <row r="248" spans="1:5">
      <c r="A248" s="13">
        <v>43647</v>
      </c>
      <c r="B248" t="s">
        <v>221</v>
      </c>
      <c r="C248" t="s">
        <v>219</v>
      </c>
      <c r="D248" s="12">
        <v>167.4</v>
      </c>
      <c r="E248" s="11">
        <v>0.054820415879017</v>
      </c>
    </row>
    <row r="249" spans="1:5">
      <c r="A249" s="13">
        <v>43647</v>
      </c>
      <c r="B249" t="s">
        <v>221</v>
      </c>
      <c r="C249" t="s">
        <v>214</v>
      </c>
      <c r="D249" s="12">
        <v>149.3</v>
      </c>
      <c r="E249" s="11">
        <v>0.0418702023726447</v>
      </c>
    </row>
    <row r="250" spans="1:5">
      <c r="A250" s="13">
        <v>43647</v>
      </c>
      <c r="B250" t="s">
        <v>221</v>
      </c>
      <c r="C250" t="s">
        <v>216</v>
      </c>
      <c r="D250" s="12">
        <v>137</v>
      </c>
      <c r="E250" s="11">
        <v>0.0201042442293373</v>
      </c>
    </row>
    <row r="251" spans="1:5">
      <c r="A251" s="13">
        <v>43647</v>
      </c>
      <c r="B251" t="s">
        <v>213</v>
      </c>
      <c r="C251" t="s">
        <v>216</v>
      </c>
      <c r="D251" s="12">
        <v>138.8</v>
      </c>
      <c r="E251" s="11">
        <v>0.0205882352941177</v>
      </c>
    </row>
    <row r="252" spans="1:5">
      <c r="A252" s="13">
        <v>43678</v>
      </c>
      <c r="B252" t="s">
        <v>221</v>
      </c>
      <c r="C252" t="s">
        <v>216</v>
      </c>
      <c r="D252" s="12">
        <v>136.8</v>
      </c>
      <c r="E252" s="11">
        <v>0.0193740685543966</v>
      </c>
    </row>
    <row r="253" spans="1:5">
      <c r="A253" s="13">
        <v>43678</v>
      </c>
      <c r="B253" t="s">
        <v>221</v>
      </c>
      <c r="C253" t="s">
        <v>214</v>
      </c>
      <c r="D253" s="12">
        <v>148.4</v>
      </c>
      <c r="E253" s="11">
        <v>0.0392156862745096</v>
      </c>
    </row>
    <row r="254" spans="1:5">
      <c r="A254" s="13">
        <v>43678</v>
      </c>
      <c r="B254" t="s">
        <v>221</v>
      </c>
      <c r="C254" t="s">
        <v>219</v>
      </c>
      <c r="D254" s="12">
        <v>167.3</v>
      </c>
      <c r="E254" s="11">
        <v>0.0475892298058862</v>
      </c>
    </row>
    <row r="255" spans="1:5">
      <c r="A255" s="13">
        <v>43678</v>
      </c>
      <c r="B255" t="s">
        <v>213</v>
      </c>
      <c r="C255" t="s">
        <v>220</v>
      </c>
      <c r="D255" s="12">
        <v>140</v>
      </c>
      <c r="E255" s="11">
        <v>0.0393466963622866</v>
      </c>
    </row>
    <row r="256" spans="1:5">
      <c r="A256" s="13">
        <v>43678</v>
      </c>
      <c r="B256" t="s">
        <v>221</v>
      </c>
      <c r="C256" t="s">
        <v>218</v>
      </c>
      <c r="D256" s="12">
        <v>156.8</v>
      </c>
      <c r="E256" s="11">
        <v>0.0329380764163373</v>
      </c>
    </row>
    <row r="257" spans="1:5">
      <c r="A257" s="13">
        <v>43678</v>
      </c>
      <c r="B257" t="s">
        <v>213</v>
      </c>
      <c r="C257" t="s">
        <v>216</v>
      </c>
      <c r="D257" s="12">
        <v>138.5</v>
      </c>
      <c r="E257" s="11">
        <v>0.0191317144959528</v>
      </c>
    </row>
    <row r="258" spans="1:5">
      <c r="A258" s="13">
        <v>43678</v>
      </c>
      <c r="B258" t="s">
        <v>213</v>
      </c>
      <c r="C258" t="s">
        <v>214</v>
      </c>
      <c r="D258" s="12">
        <v>151.9</v>
      </c>
      <c r="E258" s="11">
        <v>0.0425531914893617</v>
      </c>
    </row>
    <row r="259" spans="1:5">
      <c r="A259" s="13">
        <v>43678</v>
      </c>
      <c r="B259" t="s">
        <v>213</v>
      </c>
      <c r="C259" t="s">
        <v>219</v>
      </c>
      <c r="D259" s="12">
        <v>169.8</v>
      </c>
      <c r="E259" s="11">
        <v>0.0462107208872457</v>
      </c>
    </row>
    <row r="260" spans="1:5">
      <c r="A260" s="13">
        <v>43678</v>
      </c>
      <c r="B260" t="s">
        <v>221</v>
      </c>
      <c r="C260" t="s">
        <v>220</v>
      </c>
      <c r="D260" s="12">
        <v>137.9</v>
      </c>
      <c r="E260" s="11">
        <v>0.0268056589724496</v>
      </c>
    </row>
    <row r="261" spans="1:5">
      <c r="A261" s="13">
        <v>43678</v>
      </c>
      <c r="B261" t="s">
        <v>213</v>
      </c>
      <c r="C261" t="s">
        <v>218</v>
      </c>
      <c r="D261" s="12">
        <v>164.5</v>
      </c>
      <c r="E261" s="11">
        <v>0.0437817258883248</v>
      </c>
    </row>
    <row r="262" spans="1:5">
      <c r="A262" s="13">
        <v>43678</v>
      </c>
      <c r="B262" t="s">
        <v>213</v>
      </c>
      <c r="C262" t="s">
        <v>217</v>
      </c>
      <c r="D262" s="12">
        <v>145.3</v>
      </c>
      <c r="E262" s="11">
        <v>0.0636896046852124</v>
      </c>
    </row>
    <row r="263" spans="1:5">
      <c r="A263" s="13">
        <v>43678</v>
      </c>
      <c r="B263" t="s">
        <v>215</v>
      </c>
      <c r="C263" t="s">
        <v>216</v>
      </c>
      <c r="D263" s="12">
        <v>140.9</v>
      </c>
      <c r="E263" s="11">
        <v>0.0217548948513415</v>
      </c>
    </row>
    <row r="264" spans="1:5">
      <c r="A264" s="13">
        <v>43678</v>
      </c>
      <c r="B264" t="s">
        <v>221</v>
      </c>
      <c r="C264" t="s">
        <v>217</v>
      </c>
      <c r="D264" s="12">
        <v>146.2</v>
      </c>
      <c r="E264" s="11">
        <v>0.0749999999999999</v>
      </c>
    </row>
    <row r="265" spans="1:5">
      <c r="A265" s="13">
        <v>43709</v>
      </c>
      <c r="B265" t="s">
        <v>213</v>
      </c>
      <c r="C265" t="s">
        <v>217</v>
      </c>
      <c r="D265" s="12">
        <v>140.8</v>
      </c>
      <c r="E265" s="11">
        <v>0.07563025210084021</v>
      </c>
    </row>
    <row r="266" spans="1:5">
      <c r="A266" s="13">
        <v>43709</v>
      </c>
      <c r="B266" t="s">
        <v>213</v>
      </c>
      <c r="C266" t="s">
        <v>218</v>
      </c>
      <c r="D266" s="12">
        <v>160</v>
      </c>
      <c r="E266" s="11">
        <v>0.0315925209542231</v>
      </c>
    </row>
    <row r="267" spans="1:5">
      <c r="A267" s="13">
        <v>43709</v>
      </c>
      <c r="B267" t="s">
        <v>213</v>
      </c>
      <c r="C267" t="s">
        <v>220</v>
      </c>
      <c r="D267" s="12">
        <v>139.5</v>
      </c>
      <c r="E267" s="11">
        <v>0.0310421286031041</v>
      </c>
    </row>
    <row r="268" spans="1:5">
      <c r="A268" s="13">
        <v>43709</v>
      </c>
      <c r="B268" t="s">
        <v>213</v>
      </c>
      <c r="C268" t="s">
        <v>219</v>
      </c>
      <c r="D268" s="12">
        <v>169.3</v>
      </c>
      <c r="E268" s="11">
        <v>0.0541718555417187</v>
      </c>
    </row>
    <row r="269" spans="1:5">
      <c r="A269" s="13">
        <v>43709</v>
      </c>
      <c r="B269" t="s">
        <v>213</v>
      </c>
      <c r="C269" t="s">
        <v>214</v>
      </c>
      <c r="D269" s="12">
        <v>149.7</v>
      </c>
      <c r="E269" s="11">
        <v>0.0417536534446765</v>
      </c>
    </row>
    <row r="270" spans="1:5">
      <c r="A270" s="13">
        <v>43709</v>
      </c>
      <c r="B270" t="s">
        <v>215</v>
      </c>
      <c r="C270" t="s">
        <v>216</v>
      </c>
      <c r="D270" s="12">
        <v>139.7</v>
      </c>
      <c r="E270" s="11">
        <v>0.0167394468704511</v>
      </c>
    </row>
    <row r="271" spans="1:5">
      <c r="A271" s="13">
        <v>43709</v>
      </c>
      <c r="B271" t="s">
        <v>221</v>
      </c>
      <c r="C271" t="s">
        <v>217</v>
      </c>
      <c r="D271" s="12">
        <v>141</v>
      </c>
      <c r="E271" s="11">
        <v>0.07715813598166529</v>
      </c>
    </row>
    <row r="272" spans="1:5">
      <c r="A272" s="13">
        <v>43709</v>
      </c>
      <c r="B272" t="s">
        <v>221</v>
      </c>
      <c r="C272" t="s">
        <v>218</v>
      </c>
      <c r="D272" s="12">
        <v>154.2</v>
      </c>
      <c r="E272" s="11">
        <v>0.0307486631016042</v>
      </c>
    </row>
    <row r="273" spans="1:5">
      <c r="A273" s="13">
        <v>43709</v>
      </c>
      <c r="B273" t="s">
        <v>221</v>
      </c>
      <c r="C273" t="s">
        <v>220</v>
      </c>
      <c r="D273" s="12">
        <v>138</v>
      </c>
      <c r="E273" s="11">
        <v>0.0252600297176821</v>
      </c>
    </row>
    <row r="274" spans="1:5">
      <c r="A274" s="13">
        <v>43709</v>
      </c>
      <c r="B274" t="s">
        <v>221</v>
      </c>
      <c r="C274" t="s">
        <v>219</v>
      </c>
      <c r="D274" s="12">
        <v>168.2</v>
      </c>
      <c r="E274" s="11">
        <v>0.055207026348808</v>
      </c>
    </row>
    <row r="275" spans="1:5">
      <c r="A275" s="13">
        <v>43709</v>
      </c>
      <c r="B275" t="s">
        <v>221</v>
      </c>
      <c r="C275" t="s">
        <v>214</v>
      </c>
      <c r="D275" s="12">
        <v>147.2</v>
      </c>
      <c r="E275" s="11">
        <v>0.0410183875530409</v>
      </c>
    </row>
    <row r="276" spans="1:5">
      <c r="A276" s="13">
        <v>43709</v>
      </c>
      <c r="B276" t="s">
        <v>213</v>
      </c>
      <c r="C276" t="s">
        <v>216</v>
      </c>
      <c r="D276" s="12">
        <v>137.5</v>
      </c>
      <c r="E276" s="11">
        <v>0.0170118343195266</v>
      </c>
    </row>
    <row r="277" spans="1:5">
      <c r="A277" s="13">
        <v>43709</v>
      </c>
      <c r="B277" t="s">
        <v>221</v>
      </c>
      <c r="C277" t="s">
        <v>216</v>
      </c>
      <c r="D277" s="12">
        <v>136.2</v>
      </c>
      <c r="E277" s="11">
        <v>0.0186985789080029</v>
      </c>
    </row>
    <row r="278" spans="1:5">
      <c r="A278" s="13">
        <v>43739</v>
      </c>
      <c r="B278" t="s">
        <v>215</v>
      </c>
      <c r="C278" t="s">
        <v>216</v>
      </c>
      <c r="D278" s="12">
        <v>140.3</v>
      </c>
      <c r="E278" s="11">
        <v>0.0174039158810732</v>
      </c>
    </row>
    <row r="279" spans="1:5">
      <c r="A279" s="13">
        <v>43739</v>
      </c>
      <c r="B279" t="s">
        <v>213</v>
      </c>
      <c r="C279" t="s">
        <v>217</v>
      </c>
      <c r="D279" s="12">
        <v>137.1</v>
      </c>
      <c r="E279" s="11">
        <v>0.0959232613908873</v>
      </c>
    </row>
    <row r="280" spans="1:5">
      <c r="A280" s="13">
        <v>43739</v>
      </c>
      <c r="B280" t="s">
        <v>213</v>
      </c>
      <c r="C280" t="s">
        <v>220</v>
      </c>
      <c r="D280" s="12">
        <v>135.7</v>
      </c>
      <c r="E280" s="11">
        <v>0.01193139448173</v>
      </c>
    </row>
    <row r="281" spans="1:5">
      <c r="A281" s="13">
        <v>43739</v>
      </c>
      <c r="B281" t="s">
        <v>213</v>
      </c>
      <c r="C281" t="s">
        <v>219</v>
      </c>
      <c r="D281" s="12">
        <v>169.1</v>
      </c>
      <c r="E281" s="11">
        <v>0.0555555555555555</v>
      </c>
    </row>
    <row r="282" spans="1:5">
      <c r="A282" s="13">
        <v>43739</v>
      </c>
      <c r="B282" t="s">
        <v>213</v>
      </c>
      <c r="C282" t="s">
        <v>214</v>
      </c>
      <c r="D282" s="12">
        <v>148.8</v>
      </c>
      <c r="E282" s="11">
        <v>0.0412876137158852</v>
      </c>
    </row>
    <row r="283" spans="1:5">
      <c r="A283" s="13">
        <v>43739</v>
      </c>
      <c r="B283" t="s">
        <v>213</v>
      </c>
      <c r="C283" t="s">
        <v>218</v>
      </c>
      <c r="D283" s="12">
        <v>161.6</v>
      </c>
      <c r="E283" s="11">
        <v>0.0169918187539332</v>
      </c>
    </row>
    <row r="284" spans="1:5">
      <c r="A284" s="13">
        <v>43739</v>
      </c>
      <c r="B284" t="s">
        <v>221</v>
      </c>
      <c r="C284" t="s">
        <v>217</v>
      </c>
      <c r="D284" s="12">
        <v>138.3</v>
      </c>
      <c r="E284" s="11">
        <v>0.0779423226812159</v>
      </c>
    </row>
    <row r="285" spans="1:5">
      <c r="A285" s="13">
        <v>43739</v>
      </c>
      <c r="B285" t="s">
        <v>213</v>
      </c>
      <c r="C285" t="s">
        <v>216</v>
      </c>
      <c r="D285" s="12">
        <v>137.9</v>
      </c>
      <c r="E285" s="11">
        <v>0.0169616519174042</v>
      </c>
    </row>
    <row r="286" spans="1:5">
      <c r="A286" s="13">
        <v>43739</v>
      </c>
      <c r="B286" t="s">
        <v>221</v>
      </c>
      <c r="C286" t="s">
        <v>216</v>
      </c>
      <c r="D286" s="12">
        <v>136.6</v>
      </c>
      <c r="E286" s="11">
        <v>0.0186428038777031</v>
      </c>
    </row>
    <row r="287" spans="1:5">
      <c r="A287" s="13">
        <v>43739</v>
      </c>
      <c r="B287" t="s">
        <v>221</v>
      </c>
      <c r="C287" t="s">
        <v>220</v>
      </c>
      <c r="D287" s="12">
        <v>135.5</v>
      </c>
      <c r="E287" s="11">
        <v>0.0142215568862276</v>
      </c>
    </row>
    <row r="288" spans="1:5">
      <c r="A288" s="13">
        <v>43739</v>
      </c>
      <c r="B288" t="s">
        <v>221</v>
      </c>
      <c r="C288" t="s">
        <v>219</v>
      </c>
      <c r="D288" s="12">
        <v>167.3</v>
      </c>
      <c r="E288" s="11">
        <v>0.061548223350254</v>
      </c>
    </row>
    <row r="289" spans="1:5">
      <c r="A289" s="13">
        <v>43739</v>
      </c>
      <c r="B289" t="s">
        <v>221</v>
      </c>
      <c r="C289" t="s">
        <v>218</v>
      </c>
      <c r="D289" s="12">
        <v>156</v>
      </c>
      <c r="E289" s="11">
        <v>0.0242941562705185</v>
      </c>
    </row>
    <row r="290" spans="1:5">
      <c r="A290" s="13">
        <v>43739</v>
      </c>
      <c r="B290" t="s">
        <v>221</v>
      </c>
      <c r="C290" t="s">
        <v>214</v>
      </c>
      <c r="D290" s="12">
        <v>146.5</v>
      </c>
      <c r="E290" s="11">
        <v>0.0412224591329069</v>
      </c>
    </row>
    <row r="291" spans="1:5">
      <c r="A291" s="13">
        <v>43770</v>
      </c>
      <c r="B291" t="s">
        <v>221</v>
      </c>
      <c r="C291" t="s">
        <v>216</v>
      </c>
      <c r="D291" s="12">
        <v>136.4</v>
      </c>
      <c r="E291" s="11">
        <v>0.0217228464419476</v>
      </c>
    </row>
    <row r="292" spans="1:5">
      <c r="A292" s="13">
        <v>43770</v>
      </c>
      <c r="B292" t="s">
        <v>221</v>
      </c>
      <c r="C292" t="s">
        <v>214</v>
      </c>
      <c r="D292" s="12">
        <v>148.2</v>
      </c>
      <c r="E292" s="11">
        <v>0.0385423966362998</v>
      </c>
    </row>
    <row r="293" spans="1:5">
      <c r="A293" s="13">
        <v>43770</v>
      </c>
      <c r="B293" t="s">
        <v>221</v>
      </c>
      <c r="C293" t="s">
        <v>219</v>
      </c>
      <c r="D293" s="12">
        <v>167.1</v>
      </c>
      <c r="E293" s="11">
        <v>0.0522670025188916</v>
      </c>
    </row>
    <row r="294" spans="1:5">
      <c r="A294" s="13">
        <v>43770</v>
      </c>
      <c r="B294" t="s">
        <v>221</v>
      </c>
      <c r="C294" t="s">
        <v>220</v>
      </c>
      <c r="D294" s="12">
        <v>137.1</v>
      </c>
      <c r="E294" s="11">
        <v>0.0163083765752407</v>
      </c>
    </row>
    <row r="295" spans="1:5">
      <c r="A295" s="13">
        <v>43770</v>
      </c>
      <c r="B295" t="s">
        <v>221</v>
      </c>
      <c r="C295" t="s">
        <v>217</v>
      </c>
      <c r="D295" s="12">
        <v>145.8</v>
      </c>
      <c r="E295" s="11">
        <v>0.07048458149779741</v>
      </c>
    </row>
    <row r="296" spans="1:5">
      <c r="A296" s="13">
        <v>43770</v>
      </c>
      <c r="B296" t="s">
        <v>213</v>
      </c>
      <c r="C296" t="s">
        <v>216</v>
      </c>
      <c r="D296" s="12">
        <v>137.7</v>
      </c>
      <c r="E296" s="11">
        <v>0.0192450037009621</v>
      </c>
    </row>
    <row r="297" spans="1:5">
      <c r="A297" s="13">
        <v>43770</v>
      </c>
      <c r="B297" t="s">
        <v>213</v>
      </c>
      <c r="C297" t="s">
        <v>214</v>
      </c>
      <c r="D297" s="12">
        <v>150.5</v>
      </c>
      <c r="E297" s="11">
        <v>0.0357880247763247</v>
      </c>
    </row>
    <row r="298" spans="1:5">
      <c r="A298" s="13">
        <v>43770</v>
      </c>
      <c r="B298" t="s">
        <v>213</v>
      </c>
      <c r="C298" t="s">
        <v>219</v>
      </c>
      <c r="D298" s="12">
        <v>167.9</v>
      </c>
      <c r="E298" s="11">
        <v>0.0467581047381546</v>
      </c>
    </row>
    <row r="299" spans="1:5">
      <c r="A299" s="13">
        <v>43770</v>
      </c>
      <c r="B299" t="s">
        <v>213</v>
      </c>
      <c r="C299" t="s">
        <v>220</v>
      </c>
      <c r="D299" s="12">
        <v>138.1</v>
      </c>
      <c r="E299" s="11">
        <v>0.013950073421439</v>
      </c>
    </row>
    <row r="300" spans="1:5">
      <c r="A300" s="13">
        <v>43770</v>
      </c>
      <c r="B300" t="s">
        <v>213</v>
      </c>
      <c r="C300" t="s">
        <v>217</v>
      </c>
      <c r="D300" s="12">
        <v>144.5</v>
      </c>
      <c r="E300" s="11">
        <v>0.0783582089552239</v>
      </c>
    </row>
    <row r="301" spans="1:5">
      <c r="A301" s="13">
        <v>43770</v>
      </c>
      <c r="B301" t="s">
        <v>215</v>
      </c>
      <c r="C301" t="s">
        <v>216</v>
      </c>
      <c r="D301" s="12">
        <v>139.9</v>
      </c>
      <c r="E301" s="11">
        <v>0.0181950509461426</v>
      </c>
    </row>
    <row r="302" spans="1:5">
      <c r="A302" s="13">
        <v>43770</v>
      </c>
      <c r="B302" t="s">
        <v>221</v>
      </c>
      <c r="C302" t="s">
        <v>218</v>
      </c>
      <c r="D302" s="12">
        <v>156.4</v>
      </c>
      <c r="E302" s="11">
        <v>0.0275952693823917</v>
      </c>
    </row>
    <row r="303" spans="1:5">
      <c r="A303" s="13">
        <v>43770</v>
      </c>
      <c r="B303" t="s">
        <v>213</v>
      </c>
      <c r="C303" t="s">
        <v>218</v>
      </c>
      <c r="D303" s="12">
        <v>162.4</v>
      </c>
      <c r="E303" s="11">
        <v>0.0207416719044626</v>
      </c>
    </row>
    <row r="304" spans="1:5">
      <c r="A304" s="13">
        <v>43800</v>
      </c>
      <c r="B304" t="s">
        <v>213</v>
      </c>
      <c r="C304" t="s">
        <v>217</v>
      </c>
      <c r="D304" s="12">
        <v>155.5</v>
      </c>
      <c r="E304" s="11">
        <v>0.0535230352303524</v>
      </c>
    </row>
    <row r="305" spans="1:5">
      <c r="A305" s="13">
        <v>43800</v>
      </c>
      <c r="B305" t="s">
        <v>221</v>
      </c>
      <c r="C305" t="s">
        <v>219</v>
      </c>
      <c r="D305" s="12">
        <v>165.9</v>
      </c>
      <c r="E305" s="11">
        <v>0.0480101073910297</v>
      </c>
    </row>
    <row r="306" spans="1:5">
      <c r="A306" s="13">
        <v>43800</v>
      </c>
      <c r="B306" t="s">
        <v>221</v>
      </c>
      <c r="C306" t="s">
        <v>220</v>
      </c>
      <c r="D306" s="12">
        <v>138.4</v>
      </c>
      <c r="E306" s="11">
        <v>0.0198968312453944</v>
      </c>
    </row>
    <row r="307" spans="1:5">
      <c r="A307" s="13">
        <v>43800</v>
      </c>
      <c r="B307" t="s">
        <v>221</v>
      </c>
      <c r="C307" t="s">
        <v>218</v>
      </c>
      <c r="D307" s="12">
        <v>156.9</v>
      </c>
      <c r="E307" s="11">
        <v>0.0208197787898505</v>
      </c>
    </row>
    <row r="308" spans="1:5">
      <c r="A308" s="13">
        <v>43800</v>
      </c>
      <c r="B308" t="s">
        <v>221</v>
      </c>
      <c r="C308" t="s">
        <v>217</v>
      </c>
      <c r="D308" s="12">
        <v>153.7</v>
      </c>
      <c r="E308" s="11">
        <v>0.051299589603283</v>
      </c>
    </row>
    <row r="309" spans="1:5">
      <c r="A309" s="13">
        <v>43800</v>
      </c>
      <c r="B309" t="s">
        <v>213</v>
      </c>
      <c r="C309" t="s">
        <v>216</v>
      </c>
      <c r="D309" s="12">
        <v>137.8</v>
      </c>
      <c r="E309" s="11">
        <v>0.0207407407407407</v>
      </c>
    </row>
    <row r="310" spans="1:5">
      <c r="A310" s="13">
        <v>43800</v>
      </c>
      <c r="B310" t="s">
        <v>213</v>
      </c>
      <c r="C310" t="s">
        <v>214</v>
      </c>
      <c r="D310" s="12">
        <v>152.9</v>
      </c>
      <c r="E310" s="11">
        <v>0.0289367429340512</v>
      </c>
    </row>
    <row r="311" spans="1:5">
      <c r="A311" s="13">
        <v>43800</v>
      </c>
      <c r="B311" t="s">
        <v>213</v>
      </c>
      <c r="C311" t="s">
        <v>219</v>
      </c>
      <c r="D311" s="12">
        <v>168.5</v>
      </c>
      <c r="E311" s="11">
        <v>0.0524672079950032</v>
      </c>
    </row>
    <row r="312" spans="1:5">
      <c r="A312" s="13">
        <v>43800</v>
      </c>
      <c r="B312" t="s">
        <v>213</v>
      </c>
      <c r="C312" t="s">
        <v>220</v>
      </c>
      <c r="D312" s="12">
        <v>139.6</v>
      </c>
      <c r="E312" s="11">
        <v>0.0219619326500732</v>
      </c>
    </row>
    <row r="313" spans="1:5">
      <c r="A313" s="13">
        <v>43800</v>
      </c>
      <c r="B313" t="s">
        <v>213</v>
      </c>
      <c r="C313" t="s">
        <v>218</v>
      </c>
      <c r="D313" s="12">
        <v>163.4</v>
      </c>
      <c r="E313" s="11">
        <v>0.0149068322981367</v>
      </c>
    </row>
    <row r="314" spans="1:5">
      <c r="A314" s="13">
        <v>43800</v>
      </c>
      <c r="B314" t="s">
        <v>215</v>
      </c>
      <c r="C314" t="s">
        <v>216</v>
      </c>
      <c r="D314" s="12">
        <v>140.1</v>
      </c>
      <c r="E314" s="11">
        <v>0.0189090909090907</v>
      </c>
    </row>
    <row r="315" spans="1:5">
      <c r="A315" s="13">
        <v>43800</v>
      </c>
      <c r="B315" t="s">
        <v>221</v>
      </c>
      <c r="C315" t="s">
        <v>214</v>
      </c>
      <c r="D315" s="12">
        <v>149.4</v>
      </c>
      <c r="E315" s="11">
        <v>0.031767955801105</v>
      </c>
    </row>
    <row r="316" spans="1:5">
      <c r="A316" s="13">
        <v>43800</v>
      </c>
      <c r="B316" t="s">
        <v>221</v>
      </c>
      <c r="C316" t="s">
        <v>216</v>
      </c>
      <c r="D316" s="12">
        <v>136.4</v>
      </c>
      <c r="E316" s="11">
        <v>0.0224887556221888</v>
      </c>
    </row>
    <row r="317" spans="1:5">
      <c r="A317" s="13">
        <v>43831</v>
      </c>
      <c r="B317" t="s">
        <v>215</v>
      </c>
      <c r="C317" t="s">
        <v>216</v>
      </c>
      <c r="D317" s="12">
        <v>139.9</v>
      </c>
      <c r="E317" s="11">
        <v>0.0159767610748005</v>
      </c>
    </row>
    <row r="318" spans="1:5">
      <c r="A318" s="13">
        <v>43831</v>
      </c>
      <c r="B318" t="s">
        <v>221</v>
      </c>
      <c r="C318" t="s">
        <v>214</v>
      </c>
      <c r="D318" s="12">
        <v>151.6</v>
      </c>
      <c r="E318" s="11">
        <v>0.0376454483230663</v>
      </c>
    </row>
    <row r="319" spans="1:5">
      <c r="A319" s="13">
        <v>43831</v>
      </c>
      <c r="B319" t="s">
        <v>221</v>
      </c>
      <c r="C319" t="s">
        <v>219</v>
      </c>
      <c r="D319" s="12">
        <v>169.9</v>
      </c>
      <c r="E319" s="11">
        <v>0.06320400500625779</v>
      </c>
    </row>
    <row r="320" spans="1:5">
      <c r="A320" s="13">
        <v>43831</v>
      </c>
      <c r="B320" t="s">
        <v>221</v>
      </c>
      <c r="C320" t="s">
        <v>220</v>
      </c>
      <c r="D320" s="12">
        <v>138.8</v>
      </c>
      <c r="E320" s="11">
        <v>0.0213392200147166</v>
      </c>
    </row>
    <row r="321" spans="1:5">
      <c r="A321" s="13">
        <v>43831</v>
      </c>
      <c r="B321" t="s">
        <v>221</v>
      </c>
      <c r="C321" t="s">
        <v>218</v>
      </c>
      <c r="D321" s="12">
        <v>156.9</v>
      </c>
      <c r="E321" s="11">
        <v>0.0201560468140442</v>
      </c>
    </row>
    <row r="322" spans="1:5">
      <c r="A322" s="13">
        <v>43831</v>
      </c>
      <c r="B322" t="s">
        <v>221</v>
      </c>
      <c r="C322" t="s">
        <v>217</v>
      </c>
      <c r="D322" s="12">
        <v>155.5</v>
      </c>
      <c r="E322" s="11">
        <v>0.0513860716700473</v>
      </c>
    </row>
    <row r="323" spans="1:5">
      <c r="A323" s="13">
        <v>43831</v>
      </c>
      <c r="B323" t="s">
        <v>221</v>
      </c>
      <c r="C323" t="s">
        <v>216</v>
      </c>
      <c r="D323" s="12">
        <v>136.8</v>
      </c>
      <c r="E323" s="11">
        <v>0.0239520958083834</v>
      </c>
    </row>
    <row r="324" spans="1:5">
      <c r="A324" s="13">
        <v>43831</v>
      </c>
      <c r="B324" t="s">
        <v>213</v>
      </c>
      <c r="C324" t="s">
        <v>214</v>
      </c>
      <c r="D324" s="12">
        <v>154.5</v>
      </c>
      <c r="E324" s="11">
        <v>0.0293137908061293</v>
      </c>
    </row>
    <row r="325" spans="1:5">
      <c r="A325" s="13">
        <v>43831</v>
      </c>
      <c r="B325" t="s">
        <v>213</v>
      </c>
      <c r="C325" t="s">
        <v>219</v>
      </c>
      <c r="D325" s="12">
        <v>170.4</v>
      </c>
      <c r="E325" s="11">
        <v>0.0492610837438423</v>
      </c>
    </row>
    <row r="326" spans="1:5">
      <c r="A326" s="13">
        <v>43831</v>
      </c>
      <c r="B326" t="s">
        <v>213</v>
      </c>
      <c r="C326" t="s">
        <v>220</v>
      </c>
      <c r="D326" s="12">
        <v>141</v>
      </c>
      <c r="E326" s="11">
        <v>0.0180505415162455</v>
      </c>
    </row>
    <row r="327" spans="1:5">
      <c r="A327" s="13">
        <v>43831</v>
      </c>
      <c r="B327" t="s">
        <v>213</v>
      </c>
      <c r="C327" t="s">
        <v>218</v>
      </c>
      <c r="D327" s="12">
        <v>163.5</v>
      </c>
      <c r="E327" s="11">
        <v>0.0186915887850467</v>
      </c>
    </row>
    <row r="328" spans="1:5">
      <c r="A328" s="13">
        <v>43831</v>
      </c>
      <c r="B328" t="s">
        <v>213</v>
      </c>
      <c r="C328" t="s">
        <v>217</v>
      </c>
      <c r="D328" s="12">
        <v>154.2</v>
      </c>
      <c r="E328" s="11">
        <v>0.0293724966622161</v>
      </c>
    </row>
    <row r="329" spans="1:5">
      <c r="A329" s="13">
        <v>43831</v>
      </c>
      <c r="B329" t="s">
        <v>213</v>
      </c>
      <c r="C329" t="s">
        <v>216</v>
      </c>
      <c r="D329" s="12">
        <v>138</v>
      </c>
      <c r="E329" s="11">
        <v>0.0207100591715976</v>
      </c>
    </row>
    <row r="330" spans="1:5">
      <c r="A330" s="13">
        <v>43862</v>
      </c>
      <c r="B330" t="s">
        <v>215</v>
      </c>
      <c r="C330" t="s">
        <v>216</v>
      </c>
      <c r="D330" s="12">
        <v>140.5</v>
      </c>
      <c r="E330" s="11">
        <v>0.0137085137085137</v>
      </c>
    </row>
    <row r="331" spans="1:5">
      <c r="A331" s="13">
        <v>43862</v>
      </c>
      <c r="B331" t="s">
        <v>213</v>
      </c>
      <c r="C331" t="s">
        <v>217</v>
      </c>
      <c r="D331" s="12">
        <v>149.5</v>
      </c>
      <c r="E331" s="11">
        <v>-0.0020026702269693</v>
      </c>
    </row>
    <row r="332" spans="1:5">
      <c r="A332" s="13">
        <v>43862</v>
      </c>
      <c r="B332" t="s">
        <v>213</v>
      </c>
      <c r="C332" t="s">
        <v>218</v>
      </c>
      <c r="D332" s="12">
        <v>163.9</v>
      </c>
      <c r="E332" s="11">
        <v>0.0104808877928483</v>
      </c>
    </row>
    <row r="333" spans="1:5">
      <c r="A333" s="13">
        <v>43862</v>
      </c>
      <c r="B333" t="s">
        <v>213</v>
      </c>
      <c r="C333" t="s">
        <v>219</v>
      </c>
      <c r="D333" s="12">
        <v>169.6</v>
      </c>
      <c r="E333" s="11">
        <v>0.0436923076923077</v>
      </c>
    </row>
    <row r="334" spans="1:5">
      <c r="A334" s="13">
        <v>43862</v>
      </c>
      <c r="B334" t="s">
        <v>213</v>
      </c>
      <c r="C334" t="s">
        <v>214</v>
      </c>
      <c r="D334" s="12">
        <v>153.1</v>
      </c>
      <c r="E334" s="11">
        <v>0.0139072847682117</v>
      </c>
    </row>
    <row r="335" spans="1:5">
      <c r="A335" s="13">
        <v>43862</v>
      </c>
      <c r="B335" t="s">
        <v>221</v>
      </c>
      <c r="C335" t="s">
        <v>214</v>
      </c>
      <c r="D335" s="12">
        <v>150.6</v>
      </c>
      <c r="E335" s="11">
        <v>0.0237933378653976</v>
      </c>
    </row>
    <row r="336" spans="1:5">
      <c r="A336" s="13">
        <v>43862</v>
      </c>
      <c r="B336" t="s">
        <v>221</v>
      </c>
      <c r="C336" t="s">
        <v>217</v>
      </c>
      <c r="D336" s="12">
        <v>151.4</v>
      </c>
      <c r="E336" s="11">
        <v>0.0161073825503355</v>
      </c>
    </row>
    <row r="337" spans="1:5">
      <c r="A337" s="13">
        <v>43862</v>
      </c>
      <c r="B337" t="s">
        <v>221</v>
      </c>
      <c r="C337" t="s">
        <v>220</v>
      </c>
      <c r="D337" s="12">
        <v>140.5</v>
      </c>
      <c r="E337" s="11">
        <v>0.0210755813953489</v>
      </c>
    </row>
    <row r="338" spans="1:5">
      <c r="A338" s="13">
        <v>43862</v>
      </c>
      <c r="B338" t="s">
        <v>221</v>
      </c>
      <c r="C338" t="s">
        <v>219</v>
      </c>
      <c r="D338" s="12">
        <v>168.3</v>
      </c>
      <c r="E338" s="11">
        <v>0.0558343789209536</v>
      </c>
    </row>
    <row r="339" spans="1:5">
      <c r="A339" s="13">
        <v>43862</v>
      </c>
      <c r="B339" t="s">
        <v>221</v>
      </c>
      <c r="C339" t="s">
        <v>216</v>
      </c>
      <c r="D339" s="12">
        <v>137.4</v>
      </c>
      <c r="E339" s="11">
        <v>0.0215613382899628</v>
      </c>
    </row>
    <row r="340" spans="1:5">
      <c r="A340" s="13">
        <v>43862</v>
      </c>
      <c r="B340" t="s">
        <v>213</v>
      </c>
      <c r="C340" t="s">
        <v>216</v>
      </c>
      <c r="D340" s="12">
        <v>138.7</v>
      </c>
      <c r="E340" s="11">
        <v>0.0198529411764705</v>
      </c>
    </row>
    <row r="341" spans="1:5">
      <c r="A341" s="13">
        <v>43862</v>
      </c>
      <c r="B341" t="s">
        <v>221</v>
      </c>
      <c r="C341" t="s">
        <v>218</v>
      </c>
      <c r="D341" s="12">
        <v>157.9</v>
      </c>
      <c r="E341" s="11">
        <v>0.018052869116699</v>
      </c>
    </row>
    <row r="342" spans="1:5">
      <c r="A342" s="13">
        <v>43862</v>
      </c>
      <c r="B342" t="s">
        <v>213</v>
      </c>
      <c r="C342" t="s">
        <v>220</v>
      </c>
      <c r="D342" s="12">
        <v>142.1</v>
      </c>
      <c r="E342" s="11">
        <v>0.0237752161383284</v>
      </c>
    </row>
    <row r="343" spans="1:5">
      <c r="A343" s="13">
        <v>43891</v>
      </c>
      <c r="B343" t="s">
        <v>221</v>
      </c>
      <c r="C343" t="s">
        <v>220</v>
      </c>
      <c r="D343" s="12">
        <v>140.3</v>
      </c>
      <c r="E343" s="11">
        <v>0.0233406272793581</v>
      </c>
    </row>
    <row r="344" spans="1:5">
      <c r="A344" s="13">
        <v>43891</v>
      </c>
      <c r="B344" t="s">
        <v>221</v>
      </c>
      <c r="C344" t="s">
        <v>216</v>
      </c>
      <c r="D344" s="12">
        <v>136.6</v>
      </c>
      <c r="E344" s="11">
        <v>0.0088626292466764</v>
      </c>
    </row>
    <row r="345" spans="1:5">
      <c r="A345" s="13">
        <v>43891</v>
      </c>
      <c r="B345" t="s">
        <v>221</v>
      </c>
      <c r="C345" t="s">
        <v>214</v>
      </c>
      <c r="D345" s="12">
        <v>150.5</v>
      </c>
      <c r="E345" s="11">
        <v>0.0238095238095237</v>
      </c>
    </row>
    <row r="346" spans="1:5">
      <c r="A346" s="13">
        <v>43891</v>
      </c>
      <c r="B346" t="s">
        <v>221</v>
      </c>
      <c r="C346" t="s">
        <v>217</v>
      </c>
      <c r="D346" s="12">
        <v>146.4</v>
      </c>
      <c r="E346" s="11">
        <v>-0.0194239785666443</v>
      </c>
    </row>
    <row r="347" spans="1:5">
      <c r="A347" s="13">
        <v>43891</v>
      </c>
      <c r="B347" t="s">
        <v>213</v>
      </c>
      <c r="C347" t="s">
        <v>216</v>
      </c>
      <c r="D347" s="12">
        <v>137.9</v>
      </c>
      <c r="E347" s="11">
        <v>0.0065693430656934</v>
      </c>
    </row>
    <row r="348" spans="1:5">
      <c r="A348" s="13">
        <v>43891</v>
      </c>
      <c r="B348" t="s">
        <v>213</v>
      </c>
      <c r="C348" t="s">
        <v>214</v>
      </c>
      <c r="D348" s="12">
        <v>153.4</v>
      </c>
      <c r="E348" s="11">
        <v>0.0199468085106382</v>
      </c>
    </row>
    <row r="349" spans="1:5">
      <c r="A349" s="13">
        <v>43891</v>
      </c>
      <c r="B349" t="s">
        <v>213</v>
      </c>
      <c r="C349" t="s">
        <v>219</v>
      </c>
      <c r="D349" s="12">
        <v>171.4</v>
      </c>
      <c r="E349" s="11">
        <v>0.06327543424317621</v>
      </c>
    </row>
    <row r="350" spans="1:5">
      <c r="A350" s="13">
        <v>43891</v>
      </c>
      <c r="B350" t="s">
        <v>213</v>
      </c>
      <c r="C350" t="s">
        <v>220</v>
      </c>
      <c r="D350" s="12">
        <v>143.6</v>
      </c>
      <c r="E350" s="11">
        <v>0.0360750360750361</v>
      </c>
    </row>
    <row r="351" spans="1:5">
      <c r="A351" s="13">
        <v>43891</v>
      </c>
      <c r="B351" t="s">
        <v>213</v>
      </c>
      <c r="C351" t="s">
        <v>218</v>
      </c>
      <c r="D351" s="12">
        <v>166.6</v>
      </c>
      <c r="E351" s="11">
        <v>0.0347826086956521</v>
      </c>
    </row>
    <row r="352" spans="1:5">
      <c r="A352" s="13">
        <v>43891</v>
      </c>
      <c r="B352" t="s">
        <v>213</v>
      </c>
      <c r="C352" t="s">
        <v>217</v>
      </c>
      <c r="D352" s="12">
        <v>144</v>
      </c>
      <c r="E352" s="11">
        <v>-0.0342052313883299</v>
      </c>
    </row>
    <row r="353" spans="1:5">
      <c r="A353" s="13">
        <v>43891</v>
      </c>
      <c r="B353" t="s">
        <v>215</v>
      </c>
      <c r="C353" t="s">
        <v>216</v>
      </c>
      <c r="D353" s="12">
        <v>140.1</v>
      </c>
      <c r="E353" s="11">
        <v>0.004301075268817</v>
      </c>
    </row>
    <row r="354" spans="1:5">
      <c r="A354" s="13">
        <v>43891</v>
      </c>
      <c r="B354" t="s">
        <v>221</v>
      </c>
      <c r="C354" t="s">
        <v>219</v>
      </c>
      <c r="D354" s="12">
        <v>170.4</v>
      </c>
      <c r="E354" s="11">
        <v>0.0723725613593455</v>
      </c>
    </row>
    <row r="355" spans="1:5">
      <c r="A355" s="13">
        <v>43891</v>
      </c>
      <c r="B355" t="s">
        <v>221</v>
      </c>
      <c r="C355" t="s">
        <v>218</v>
      </c>
      <c r="D355" s="12">
        <v>159.6</v>
      </c>
      <c r="E355" s="11">
        <v>0.0356911096690459</v>
      </c>
    </row>
    <row r="356" spans="1:5">
      <c r="A356" s="13">
        <v>43922</v>
      </c>
      <c r="B356" t="s">
        <v>221</v>
      </c>
      <c r="C356" t="s">
        <v>214</v>
      </c>
      <c r="D356" s="12">
        <v>151.9</v>
      </c>
      <c r="E356" s="11">
        <v>0.0396988364134156</v>
      </c>
    </row>
    <row r="357" spans="1:5">
      <c r="A357" s="13">
        <v>43922</v>
      </c>
      <c r="B357" t="s">
        <v>221</v>
      </c>
      <c r="C357" t="s">
        <v>216</v>
      </c>
      <c r="D357" s="12">
        <v>135.7</v>
      </c>
      <c r="E357" s="11">
        <v>-0.0022058823529412</v>
      </c>
    </row>
    <row r="358" spans="1:5">
      <c r="A358" s="13">
        <v>43922</v>
      </c>
      <c r="B358" t="s">
        <v>221</v>
      </c>
      <c r="C358" t="s">
        <v>218</v>
      </c>
      <c r="D358" s="12">
        <v>158.7</v>
      </c>
      <c r="E358" s="11">
        <v>0.0413385826771652</v>
      </c>
    </row>
    <row r="359" spans="1:5">
      <c r="A359" s="13">
        <v>43922</v>
      </c>
      <c r="B359" t="s">
        <v>221</v>
      </c>
      <c r="C359" t="s">
        <v>217</v>
      </c>
      <c r="D359" s="12">
        <v>150.8</v>
      </c>
      <c r="E359" s="11">
        <v>0.0223728813559322</v>
      </c>
    </row>
    <row r="360" spans="1:5">
      <c r="A360" s="13">
        <v>43922</v>
      </c>
      <c r="B360" t="s">
        <v>213</v>
      </c>
      <c r="C360" t="s">
        <v>216</v>
      </c>
      <c r="D360" s="12">
        <v>137.3</v>
      </c>
      <c r="E360" s="11">
        <v>-0.0007278020378456</v>
      </c>
    </row>
    <row r="361" spans="1:5">
      <c r="A361" s="13">
        <v>43922</v>
      </c>
      <c r="B361" t="s">
        <v>213</v>
      </c>
      <c r="C361" t="s">
        <v>214</v>
      </c>
      <c r="D361" s="12">
        <v>155.6</v>
      </c>
      <c r="E361" s="11">
        <v>0.0373333333333332</v>
      </c>
    </row>
    <row r="362" spans="1:5">
      <c r="A362" s="13">
        <v>43922</v>
      </c>
      <c r="B362" t="s">
        <v>213</v>
      </c>
      <c r="C362" t="s">
        <v>219</v>
      </c>
      <c r="D362" s="12">
        <v>170.7</v>
      </c>
      <c r="E362" s="11">
        <v>0.0595903165735567</v>
      </c>
    </row>
    <row r="363" spans="1:5">
      <c r="A363" s="13">
        <v>43922</v>
      </c>
      <c r="B363" t="s">
        <v>213</v>
      </c>
      <c r="C363" t="s">
        <v>220</v>
      </c>
      <c r="D363" s="12">
        <v>145.9</v>
      </c>
      <c r="E363" s="11">
        <v>0.0603197674418605</v>
      </c>
    </row>
    <row r="364" spans="1:5">
      <c r="A364" s="13">
        <v>43922</v>
      </c>
      <c r="B364" t="s">
        <v>213</v>
      </c>
      <c r="C364" t="s">
        <v>218</v>
      </c>
      <c r="D364" s="12">
        <v>167.3</v>
      </c>
      <c r="E364" s="11">
        <v>0.0489028213166145</v>
      </c>
    </row>
    <row r="365" spans="1:5">
      <c r="A365" s="13">
        <v>43922</v>
      </c>
      <c r="B365" t="s">
        <v>213</v>
      </c>
      <c r="C365" t="s">
        <v>217</v>
      </c>
      <c r="D365" s="12">
        <v>152.3</v>
      </c>
      <c r="E365" s="11">
        <v>0.0146568954030648</v>
      </c>
    </row>
    <row r="366" spans="1:5">
      <c r="A366" s="13">
        <v>43922</v>
      </c>
      <c r="B366" t="s">
        <v>215</v>
      </c>
      <c r="C366" t="s">
        <v>216</v>
      </c>
      <c r="D366" s="12">
        <v>139.8</v>
      </c>
      <c r="E366" s="11">
        <v>0</v>
      </c>
    </row>
    <row r="367" spans="1:5">
      <c r="A367" s="13">
        <v>43922</v>
      </c>
      <c r="B367" t="s">
        <v>221</v>
      </c>
      <c r="C367" t="s">
        <v>219</v>
      </c>
      <c r="D367" s="12">
        <v>170</v>
      </c>
      <c r="E367" s="11">
        <v>0.06716886377903331</v>
      </c>
    </row>
    <row r="368" spans="1:5">
      <c r="A368" s="13">
        <v>43922</v>
      </c>
      <c r="B368" t="s">
        <v>221</v>
      </c>
      <c r="C368" t="s">
        <v>220</v>
      </c>
      <c r="D368" s="12">
        <v>142.8</v>
      </c>
      <c r="E368" s="11">
        <v>0.0476889214966984</v>
      </c>
    </row>
    <row r="369" spans="1:5">
      <c r="A369" s="13">
        <v>43952</v>
      </c>
      <c r="B369" t="s">
        <v>213</v>
      </c>
      <c r="C369" t="s">
        <v>217</v>
      </c>
      <c r="D369" s="12">
        <v>147.6</v>
      </c>
      <c r="E369" s="11">
        <v>-0.0166555629580279</v>
      </c>
    </row>
    <row r="370" spans="1:5">
      <c r="A370" s="13">
        <v>43952</v>
      </c>
      <c r="B370" t="s">
        <v>221</v>
      </c>
      <c r="C370" t="s">
        <v>216</v>
      </c>
      <c r="D370" s="12">
        <v>136.1</v>
      </c>
      <c r="E370" s="11">
        <v>-0.0036603221083455</v>
      </c>
    </row>
    <row r="371" spans="1:5">
      <c r="A371" s="13">
        <v>43952</v>
      </c>
      <c r="B371" t="s">
        <v>221</v>
      </c>
      <c r="C371" t="s">
        <v>214</v>
      </c>
      <c r="D371" s="12">
        <v>152.3</v>
      </c>
      <c r="E371" s="11">
        <v>0.0353501019714481</v>
      </c>
    </row>
    <row r="372" spans="1:5">
      <c r="A372" s="13">
        <v>43952</v>
      </c>
      <c r="B372" t="s">
        <v>221</v>
      </c>
      <c r="C372" t="s">
        <v>218</v>
      </c>
      <c r="D372" s="12">
        <v>160.2</v>
      </c>
      <c r="E372" s="11">
        <v>0.0348837209302324</v>
      </c>
    </row>
    <row r="373" spans="1:5">
      <c r="A373" s="13">
        <v>43952</v>
      </c>
      <c r="B373" t="s">
        <v>215</v>
      </c>
      <c r="C373" t="s">
        <v>216</v>
      </c>
      <c r="D373" s="12">
        <v>139.7</v>
      </c>
      <c r="E373" s="11">
        <v>-0.0042765502494656</v>
      </c>
    </row>
    <row r="374" spans="1:5">
      <c r="A374" s="13">
        <v>43952</v>
      </c>
      <c r="B374" t="s">
        <v>221</v>
      </c>
      <c r="C374" t="s">
        <v>220</v>
      </c>
      <c r="D374" s="12">
        <v>142.8</v>
      </c>
      <c r="E374" s="11">
        <v>0.0362844702467344</v>
      </c>
    </row>
    <row r="375" spans="1:5">
      <c r="A375" s="13">
        <v>43952</v>
      </c>
      <c r="B375" t="s">
        <v>213</v>
      </c>
      <c r="C375" t="s">
        <v>218</v>
      </c>
      <c r="D375" s="12">
        <v>166.8</v>
      </c>
      <c r="E375" s="11">
        <v>0.0245700245700246</v>
      </c>
    </row>
    <row r="376" spans="1:5">
      <c r="A376" s="13">
        <v>43952</v>
      </c>
      <c r="B376" t="s">
        <v>213</v>
      </c>
      <c r="C376" t="s">
        <v>220</v>
      </c>
      <c r="D376" s="12">
        <v>145.8</v>
      </c>
      <c r="E376" s="11">
        <v>0.0444126074498567</v>
      </c>
    </row>
    <row r="377" spans="1:5">
      <c r="A377" s="13">
        <v>43952</v>
      </c>
      <c r="B377" t="s">
        <v>213</v>
      </c>
      <c r="C377" t="s">
        <v>219</v>
      </c>
      <c r="D377" s="12">
        <v>174.2</v>
      </c>
      <c r="E377" s="11">
        <v>0.0641417226634086</v>
      </c>
    </row>
    <row r="378" spans="1:5">
      <c r="A378" s="13">
        <v>43952</v>
      </c>
      <c r="B378" t="s">
        <v>213</v>
      </c>
      <c r="C378" t="s">
        <v>214</v>
      </c>
      <c r="D378" s="12">
        <v>155.1</v>
      </c>
      <c r="E378" s="11">
        <v>0.0237623762376237</v>
      </c>
    </row>
    <row r="379" spans="1:5">
      <c r="A379" s="13">
        <v>43952</v>
      </c>
      <c r="B379" t="s">
        <v>213</v>
      </c>
      <c r="C379" t="s">
        <v>216</v>
      </c>
      <c r="D379" s="12">
        <v>137.5</v>
      </c>
      <c r="E379" s="11">
        <v>-0.004344677769732</v>
      </c>
    </row>
    <row r="380" spans="1:5">
      <c r="A380" s="13">
        <v>43952</v>
      </c>
      <c r="B380" t="s">
        <v>221</v>
      </c>
      <c r="C380" t="s">
        <v>217</v>
      </c>
      <c r="D380" s="12">
        <v>148.2</v>
      </c>
      <c r="E380" s="11">
        <v>0.0074779061862677</v>
      </c>
    </row>
    <row r="381" spans="1:5">
      <c r="A381" s="13">
        <v>43952</v>
      </c>
      <c r="B381" t="s">
        <v>221</v>
      </c>
      <c r="C381" t="s">
        <v>219</v>
      </c>
      <c r="D381" s="12">
        <v>173.5</v>
      </c>
      <c r="E381" s="11">
        <v>0.0783095090118084</v>
      </c>
    </row>
    <row r="382" spans="1:5">
      <c r="A382" s="13">
        <v>43983</v>
      </c>
      <c r="B382" t="s">
        <v>221</v>
      </c>
      <c r="C382" t="s">
        <v>220</v>
      </c>
      <c r="D382" s="12">
        <v>142.1</v>
      </c>
      <c r="E382" s="11">
        <v>0.0433186490455212</v>
      </c>
    </row>
    <row r="383" spans="1:5">
      <c r="A383" s="13">
        <v>43983</v>
      </c>
      <c r="B383" t="s">
        <v>213</v>
      </c>
      <c r="C383" t="s">
        <v>218</v>
      </c>
      <c r="D383" s="12">
        <v>165.9</v>
      </c>
      <c r="E383" s="11">
        <v>0.0304347826086957</v>
      </c>
    </row>
    <row r="384" spans="1:5">
      <c r="A384" s="13">
        <v>43983</v>
      </c>
      <c r="B384" t="s">
        <v>213</v>
      </c>
      <c r="C384" t="s">
        <v>220</v>
      </c>
      <c r="D384" s="12">
        <v>146.2</v>
      </c>
      <c r="E384" s="11">
        <v>0.0510424155283968</v>
      </c>
    </row>
    <row r="385" spans="1:5">
      <c r="A385" s="13">
        <v>43983</v>
      </c>
      <c r="B385" t="s">
        <v>213</v>
      </c>
      <c r="C385" t="s">
        <v>219</v>
      </c>
      <c r="D385" s="12">
        <v>177.1</v>
      </c>
      <c r="E385" s="11">
        <v>0.0592105263157896</v>
      </c>
    </row>
    <row r="386" spans="1:5">
      <c r="A386" s="13">
        <v>43983</v>
      </c>
      <c r="B386" t="s">
        <v>213</v>
      </c>
      <c r="C386" t="s">
        <v>214</v>
      </c>
      <c r="D386" s="12">
        <v>155.8</v>
      </c>
      <c r="E386" s="11">
        <v>0.0203012442698102</v>
      </c>
    </row>
    <row r="387" spans="1:5">
      <c r="A387" s="13">
        <v>43983</v>
      </c>
      <c r="B387" t="s">
        <v>213</v>
      </c>
      <c r="C387" t="s">
        <v>216</v>
      </c>
      <c r="D387" s="12">
        <v>138.6</v>
      </c>
      <c r="E387" s="11">
        <v>0.0043478260869564</v>
      </c>
    </row>
    <row r="388" spans="1:5">
      <c r="A388" s="13">
        <v>43983</v>
      </c>
      <c r="B388" t="s">
        <v>215</v>
      </c>
      <c r="C388" t="s">
        <v>216</v>
      </c>
      <c r="D388" s="12">
        <v>140.7</v>
      </c>
      <c r="E388" s="11">
        <v>0.0028510334996434</v>
      </c>
    </row>
    <row r="389" spans="1:5">
      <c r="A389" s="13">
        <v>43983</v>
      </c>
      <c r="B389" t="s">
        <v>221</v>
      </c>
      <c r="C389" t="s">
        <v>218</v>
      </c>
      <c r="D389" s="12">
        <v>158.9</v>
      </c>
      <c r="E389" s="11">
        <v>0.0291450777202073</v>
      </c>
    </row>
    <row r="390" spans="1:5">
      <c r="A390" s="13">
        <v>43983</v>
      </c>
      <c r="B390" t="s">
        <v>213</v>
      </c>
      <c r="C390" t="s">
        <v>217</v>
      </c>
      <c r="D390" s="12">
        <v>152.6</v>
      </c>
      <c r="E390" s="11">
        <v>-0.0199100834938984</v>
      </c>
    </row>
    <row r="391" spans="1:5">
      <c r="A391" s="13">
        <v>43983</v>
      </c>
      <c r="B391" t="s">
        <v>221</v>
      </c>
      <c r="C391" t="s">
        <v>219</v>
      </c>
      <c r="D391" s="12">
        <v>177</v>
      </c>
      <c r="E391" s="11">
        <v>0.08058608058608049</v>
      </c>
    </row>
    <row r="392" spans="1:5">
      <c r="A392" s="13">
        <v>43983</v>
      </c>
      <c r="B392" t="s">
        <v>221</v>
      </c>
      <c r="C392" t="s">
        <v>214</v>
      </c>
      <c r="D392" s="12">
        <v>152.8</v>
      </c>
      <c r="E392" s="11">
        <v>0.0303438975050573</v>
      </c>
    </row>
    <row r="393" spans="1:5">
      <c r="A393" s="13">
        <v>43983</v>
      </c>
      <c r="B393" t="s">
        <v>221</v>
      </c>
      <c r="C393" t="s">
        <v>216</v>
      </c>
      <c r="D393" s="12">
        <v>137.2</v>
      </c>
      <c r="E393" s="11">
        <v>0.0066030814380042</v>
      </c>
    </row>
    <row r="394" spans="1:5">
      <c r="A394" s="13">
        <v>43983</v>
      </c>
      <c r="B394" t="s">
        <v>221</v>
      </c>
      <c r="C394" t="s">
        <v>217</v>
      </c>
      <c r="D394" s="12">
        <v>152.5</v>
      </c>
      <c r="E394" s="11">
        <v>-0.006514657980456</v>
      </c>
    </row>
    <row r="395" spans="1:5">
      <c r="A395" s="13">
        <v>44013</v>
      </c>
      <c r="B395" t="s">
        <v>213</v>
      </c>
      <c r="C395" t="s">
        <v>217</v>
      </c>
      <c r="D395" s="12">
        <v>158.2</v>
      </c>
      <c r="E395" s="11">
        <v>0.0333115610711951</v>
      </c>
    </row>
    <row r="396" spans="1:5">
      <c r="A396" s="13">
        <v>44013</v>
      </c>
      <c r="B396" t="s">
        <v>221</v>
      </c>
      <c r="C396" t="s">
        <v>216</v>
      </c>
      <c r="D396" s="12">
        <v>137.2</v>
      </c>
      <c r="E396" s="11">
        <v>0.0014598540145984</v>
      </c>
    </row>
    <row r="397" spans="1:5">
      <c r="A397" s="13">
        <v>44013</v>
      </c>
      <c r="B397" t="s">
        <v>221</v>
      </c>
      <c r="C397" t="s">
        <v>214</v>
      </c>
      <c r="D397" s="12">
        <v>152.9</v>
      </c>
      <c r="E397" s="11">
        <v>0.0241125251172136</v>
      </c>
    </row>
    <row r="398" spans="1:5">
      <c r="A398" s="13">
        <v>44013</v>
      </c>
      <c r="B398" t="s">
        <v>215</v>
      </c>
      <c r="C398" t="s">
        <v>216</v>
      </c>
      <c r="D398" s="12">
        <v>140.6</v>
      </c>
      <c r="E398" s="11">
        <v>-0.0042492917847024</v>
      </c>
    </row>
    <row r="399" spans="1:5">
      <c r="A399" s="13">
        <v>44013</v>
      </c>
      <c r="B399" t="s">
        <v>213</v>
      </c>
      <c r="C399" t="s">
        <v>220</v>
      </c>
      <c r="D399" s="12">
        <v>145.1</v>
      </c>
      <c r="E399" s="11">
        <v>0.0423850574712643</v>
      </c>
    </row>
    <row r="400" spans="1:5">
      <c r="A400" s="13">
        <v>44013</v>
      </c>
      <c r="B400" t="s">
        <v>213</v>
      </c>
      <c r="C400" t="s">
        <v>218</v>
      </c>
      <c r="D400" s="12">
        <v>161.5</v>
      </c>
      <c r="E400" s="11">
        <v>-0.0098099325567135</v>
      </c>
    </row>
    <row r="401" spans="1:5">
      <c r="A401" s="13">
        <v>44013</v>
      </c>
      <c r="B401" t="s">
        <v>213</v>
      </c>
      <c r="C401" t="s">
        <v>214</v>
      </c>
      <c r="D401" s="12">
        <v>156.2</v>
      </c>
      <c r="E401" s="11">
        <v>0.0229207596594629</v>
      </c>
    </row>
    <row r="402" spans="1:5">
      <c r="A402" s="13">
        <v>44013</v>
      </c>
      <c r="B402" t="s">
        <v>213</v>
      </c>
      <c r="C402" t="s">
        <v>219</v>
      </c>
      <c r="D402" s="12">
        <v>176.7</v>
      </c>
      <c r="E402" s="11">
        <v>0.0492874109263656</v>
      </c>
    </row>
    <row r="403" spans="1:5">
      <c r="A403" s="13">
        <v>44013</v>
      </c>
      <c r="B403" t="s">
        <v>221</v>
      </c>
      <c r="C403" t="s">
        <v>217</v>
      </c>
      <c r="D403" s="12">
        <v>155.6</v>
      </c>
      <c r="E403" s="11">
        <v>0.020327868852459</v>
      </c>
    </row>
    <row r="404" spans="1:5">
      <c r="A404" s="13">
        <v>44013</v>
      </c>
      <c r="B404" t="s">
        <v>221</v>
      </c>
      <c r="C404" t="s">
        <v>218</v>
      </c>
      <c r="D404" s="12">
        <v>156.9</v>
      </c>
      <c r="E404" s="11">
        <v>0.0057692307692307</v>
      </c>
    </row>
    <row r="405" spans="1:5">
      <c r="A405" s="13">
        <v>44013</v>
      </c>
      <c r="B405" t="s">
        <v>221</v>
      </c>
      <c r="C405" t="s">
        <v>220</v>
      </c>
      <c r="D405" s="12">
        <v>141.2</v>
      </c>
      <c r="E405" s="11">
        <v>0.0254175744371822</v>
      </c>
    </row>
    <row r="406" spans="1:5">
      <c r="A406" s="13">
        <v>44013</v>
      </c>
      <c r="B406" t="s">
        <v>221</v>
      </c>
      <c r="C406" t="s">
        <v>219</v>
      </c>
      <c r="D406" s="12">
        <v>175.5</v>
      </c>
      <c r="E406" s="11">
        <v>0.0483870967741935</v>
      </c>
    </row>
    <row r="407" spans="1:5">
      <c r="A407" s="13">
        <v>44013</v>
      </c>
      <c r="B407" t="s">
        <v>213</v>
      </c>
      <c r="C407" t="s">
        <v>216</v>
      </c>
      <c r="D407" s="12">
        <v>138.8</v>
      </c>
      <c r="E407" s="11">
        <v>0</v>
      </c>
    </row>
    <row r="408" spans="1:5">
      <c r="A408" s="13">
        <v>44044</v>
      </c>
      <c r="B408" t="s">
        <v>213</v>
      </c>
      <c r="C408" t="s">
        <v>218</v>
      </c>
      <c r="D408" s="12">
        <v>163.9</v>
      </c>
      <c r="E408" s="11">
        <v>-0.0036474164133738</v>
      </c>
    </row>
    <row r="409" spans="1:5">
      <c r="A409" s="13">
        <v>44044</v>
      </c>
      <c r="B409" t="s">
        <v>213</v>
      </c>
      <c r="C409" t="s">
        <v>220</v>
      </c>
      <c r="D409" s="12">
        <v>147.7</v>
      </c>
      <c r="E409" s="11">
        <v>0.0549999999999999</v>
      </c>
    </row>
    <row r="410" spans="1:5">
      <c r="A410" s="13">
        <v>44044</v>
      </c>
      <c r="B410" t="s">
        <v>213</v>
      </c>
      <c r="C410" t="s">
        <v>219</v>
      </c>
      <c r="D410" s="12">
        <v>171.6</v>
      </c>
      <c r="E410" s="11">
        <v>0.0106007067137807</v>
      </c>
    </row>
    <row r="411" spans="1:5">
      <c r="A411" s="13">
        <v>44044</v>
      </c>
      <c r="B411" t="s">
        <v>213</v>
      </c>
      <c r="C411" t="s">
        <v>214</v>
      </c>
      <c r="D411" s="12">
        <v>154.2</v>
      </c>
      <c r="E411" s="11">
        <v>0.0151415404871624</v>
      </c>
    </row>
    <row r="412" spans="1:5">
      <c r="A412" s="13">
        <v>44044</v>
      </c>
      <c r="B412" t="s">
        <v>213</v>
      </c>
      <c r="C412" t="s">
        <v>216</v>
      </c>
      <c r="D412" s="12">
        <v>138.6</v>
      </c>
      <c r="E412" s="11">
        <v>0.0007220216606498</v>
      </c>
    </row>
    <row r="413" spans="1:5">
      <c r="A413" s="13">
        <v>44044</v>
      </c>
      <c r="B413" t="s">
        <v>221</v>
      </c>
      <c r="C413" t="s">
        <v>217</v>
      </c>
      <c r="D413" s="12">
        <v>150.7</v>
      </c>
      <c r="E413" s="11">
        <v>0.0307797537619698</v>
      </c>
    </row>
    <row r="414" spans="1:5">
      <c r="A414" s="13">
        <v>44044</v>
      </c>
      <c r="B414" t="s">
        <v>221</v>
      </c>
      <c r="C414" t="s">
        <v>218</v>
      </c>
      <c r="D414" s="12">
        <v>157.8</v>
      </c>
      <c r="E414" s="11">
        <v>0.0063775510204082</v>
      </c>
    </row>
    <row r="415" spans="1:5">
      <c r="A415" s="13">
        <v>44044</v>
      </c>
      <c r="B415" t="s">
        <v>221</v>
      </c>
      <c r="C415" t="s">
        <v>219</v>
      </c>
      <c r="D415" s="12">
        <v>170.4</v>
      </c>
      <c r="E415" s="11">
        <v>0.0185295875672444</v>
      </c>
    </row>
    <row r="416" spans="1:5">
      <c r="A416" s="13">
        <v>44044</v>
      </c>
      <c r="B416" t="s">
        <v>221</v>
      </c>
      <c r="C416" t="s">
        <v>214</v>
      </c>
      <c r="D416" s="12">
        <v>150.8</v>
      </c>
      <c r="E416" s="11">
        <v>0.0161725067385445</v>
      </c>
    </row>
    <row r="417" spans="1:5">
      <c r="A417" s="13">
        <v>44044</v>
      </c>
      <c r="B417" t="s">
        <v>221</v>
      </c>
      <c r="C417" t="s">
        <v>216</v>
      </c>
      <c r="D417" s="12">
        <v>137</v>
      </c>
      <c r="E417" s="11">
        <v>0.0014619883040933</v>
      </c>
    </row>
    <row r="418" spans="1:5">
      <c r="A418" s="13">
        <v>44044</v>
      </c>
      <c r="B418" t="s">
        <v>221</v>
      </c>
      <c r="C418" t="s">
        <v>220</v>
      </c>
      <c r="D418" s="12">
        <v>142.3</v>
      </c>
      <c r="E418" s="11">
        <v>0.0319071791153009</v>
      </c>
    </row>
    <row r="419" spans="1:5">
      <c r="A419" s="13">
        <v>44044</v>
      </c>
      <c r="B419" t="s">
        <v>215</v>
      </c>
      <c r="C419" t="s">
        <v>216</v>
      </c>
      <c r="D419" s="12">
        <v>140.4</v>
      </c>
      <c r="E419" s="11">
        <v>-0.0035486160397445</v>
      </c>
    </row>
    <row r="420" spans="1:5">
      <c r="A420" s="13">
        <v>44044</v>
      </c>
      <c r="B420" t="s">
        <v>213</v>
      </c>
      <c r="C420" t="s">
        <v>217</v>
      </c>
      <c r="D420" s="12">
        <v>153.5</v>
      </c>
      <c r="E420" s="11">
        <v>0.0564349621472815</v>
      </c>
    </row>
    <row r="421" spans="1:5">
      <c r="A421" s="13">
        <v>44075</v>
      </c>
      <c r="B421" t="s">
        <v>221</v>
      </c>
      <c r="C421" t="s">
        <v>214</v>
      </c>
      <c r="D421" s="12">
        <v>149.1</v>
      </c>
      <c r="E421" s="11">
        <v>0.0129076086956521</v>
      </c>
    </row>
    <row r="422" spans="1:5">
      <c r="A422" s="13">
        <v>44075</v>
      </c>
      <c r="B422" t="s">
        <v>213</v>
      </c>
      <c r="C422" t="s">
        <v>217</v>
      </c>
      <c r="D422" s="12">
        <v>148.4</v>
      </c>
      <c r="E422" s="11">
        <v>0.0539772727272727</v>
      </c>
    </row>
    <row r="423" spans="1:5">
      <c r="A423" s="13">
        <v>44075</v>
      </c>
      <c r="B423" t="s">
        <v>213</v>
      </c>
      <c r="C423" t="s">
        <v>218</v>
      </c>
      <c r="D423" s="12">
        <v>161.2</v>
      </c>
      <c r="E423" s="11">
        <v>0.0074999999999998</v>
      </c>
    </row>
    <row r="424" spans="1:5">
      <c r="A424" s="13">
        <v>44075</v>
      </c>
      <c r="B424" t="s">
        <v>213</v>
      </c>
      <c r="C424" t="s">
        <v>220</v>
      </c>
      <c r="D424" s="12">
        <v>144.2</v>
      </c>
      <c r="E424" s="11">
        <v>0.0336917562724012</v>
      </c>
    </row>
    <row r="425" spans="1:5">
      <c r="A425" s="13">
        <v>44075</v>
      </c>
      <c r="B425" t="s">
        <v>213</v>
      </c>
      <c r="C425" t="s">
        <v>219</v>
      </c>
      <c r="D425" s="12">
        <v>170</v>
      </c>
      <c r="E425" s="11">
        <v>0.0041346721795627</v>
      </c>
    </row>
    <row r="426" spans="1:5">
      <c r="A426" s="13">
        <v>44075</v>
      </c>
      <c r="B426" t="s">
        <v>215</v>
      </c>
      <c r="C426" t="s">
        <v>216</v>
      </c>
      <c r="D426" s="12">
        <v>140</v>
      </c>
      <c r="E426" s="11">
        <v>0.0021474588403722</v>
      </c>
    </row>
    <row r="427" spans="1:5">
      <c r="A427" s="13">
        <v>44075</v>
      </c>
      <c r="B427" t="s">
        <v>213</v>
      </c>
      <c r="C427" t="s">
        <v>216</v>
      </c>
      <c r="D427" s="12">
        <v>138.3</v>
      </c>
      <c r="E427" s="11">
        <v>0.0058181818181819</v>
      </c>
    </row>
    <row r="428" spans="1:5">
      <c r="A428" s="13">
        <v>44075</v>
      </c>
      <c r="B428" t="s">
        <v>221</v>
      </c>
      <c r="C428" t="s">
        <v>217</v>
      </c>
      <c r="D428" s="12">
        <v>145.9</v>
      </c>
      <c r="E428" s="11">
        <v>0.0347517730496453</v>
      </c>
    </row>
    <row r="429" spans="1:5">
      <c r="A429" s="13">
        <v>44075</v>
      </c>
      <c r="B429" t="s">
        <v>221</v>
      </c>
      <c r="C429" t="s">
        <v>218</v>
      </c>
      <c r="D429" s="12">
        <v>155.1</v>
      </c>
      <c r="E429" s="11">
        <v>0.0058365758754863</v>
      </c>
    </row>
    <row r="430" spans="1:5">
      <c r="A430" s="13">
        <v>44075</v>
      </c>
      <c r="B430" t="s">
        <v>221</v>
      </c>
      <c r="C430" t="s">
        <v>220</v>
      </c>
      <c r="D430" s="12">
        <v>140.8</v>
      </c>
      <c r="E430" s="11">
        <v>0.0202898550724639</v>
      </c>
    </row>
    <row r="431" spans="1:5">
      <c r="A431" s="13">
        <v>44075</v>
      </c>
      <c r="B431" t="s">
        <v>221</v>
      </c>
      <c r="C431" t="s">
        <v>219</v>
      </c>
      <c r="D431" s="12">
        <v>168.8</v>
      </c>
      <c r="E431" s="11">
        <v>0.0035671819262783</v>
      </c>
    </row>
    <row r="432" spans="1:5">
      <c r="A432" s="13">
        <v>44075</v>
      </c>
      <c r="B432" t="s">
        <v>213</v>
      </c>
      <c r="C432" t="s">
        <v>214</v>
      </c>
      <c r="D432" s="12">
        <v>152.1</v>
      </c>
      <c r="E432" s="11">
        <v>0.0160320641282565</v>
      </c>
    </row>
    <row r="433" spans="1:5">
      <c r="A433" s="13">
        <v>44075</v>
      </c>
      <c r="B433" t="s">
        <v>221</v>
      </c>
      <c r="C433" t="s">
        <v>216</v>
      </c>
      <c r="D433" s="12">
        <v>136.9</v>
      </c>
      <c r="E433" s="11">
        <v>0.0051395007342145</v>
      </c>
    </row>
    <row r="434" spans="1:5">
      <c r="A434" s="13">
        <v>44105</v>
      </c>
      <c r="B434" t="s">
        <v>213</v>
      </c>
      <c r="C434" t="s">
        <v>219</v>
      </c>
      <c r="D434" s="12">
        <v>168.9</v>
      </c>
      <c r="E434" s="11">
        <v>-0.0011827321111766</v>
      </c>
    </row>
    <row r="435" spans="1:5">
      <c r="A435" s="13">
        <v>44105</v>
      </c>
      <c r="B435" t="s">
        <v>221</v>
      </c>
      <c r="C435" t="s">
        <v>216</v>
      </c>
      <c r="D435" s="12">
        <v>137.5</v>
      </c>
      <c r="E435" s="11">
        <v>0.006588579795022</v>
      </c>
    </row>
    <row r="436" spans="1:5">
      <c r="A436" s="13">
        <v>44105</v>
      </c>
      <c r="B436" t="s">
        <v>221</v>
      </c>
      <c r="C436" t="s">
        <v>214</v>
      </c>
      <c r="D436" s="12">
        <v>149.9</v>
      </c>
      <c r="E436" s="11">
        <v>0.0232081911262798</v>
      </c>
    </row>
    <row r="437" spans="1:5">
      <c r="A437" s="13">
        <v>44105</v>
      </c>
      <c r="B437" t="s">
        <v>221</v>
      </c>
      <c r="C437" t="s">
        <v>219</v>
      </c>
      <c r="D437" s="12">
        <v>170.2</v>
      </c>
      <c r="E437" s="11">
        <v>0.0173341303048415</v>
      </c>
    </row>
    <row r="438" spans="1:5">
      <c r="A438" s="13">
        <v>44105</v>
      </c>
      <c r="B438" t="s">
        <v>221</v>
      </c>
      <c r="C438" t="s">
        <v>220</v>
      </c>
      <c r="D438" s="12">
        <v>140.5</v>
      </c>
      <c r="E438" s="11">
        <v>0.0369003690036899</v>
      </c>
    </row>
    <row r="439" spans="1:5">
      <c r="A439" s="13">
        <v>44105</v>
      </c>
      <c r="B439" t="s">
        <v>221</v>
      </c>
      <c r="C439" t="s">
        <v>218</v>
      </c>
      <c r="D439" s="12">
        <v>156.6</v>
      </c>
      <c r="E439" s="11">
        <v>0.0038461538461538</v>
      </c>
    </row>
    <row r="440" spans="1:5">
      <c r="A440" s="13">
        <v>44105</v>
      </c>
      <c r="B440" t="s">
        <v>221</v>
      </c>
      <c r="C440" t="s">
        <v>217</v>
      </c>
      <c r="D440" s="12">
        <v>148.3</v>
      </c>
      <c r="E440" s="11">
        <v>0.07230657989877071</v>
      </c>
    </row>
    <row r="441" spans="1:5">
      <c r="A441" s="13">
        <v>44105</v>
      </c>
      <c r="B441" t="s">
        <v>213</v>
      </c>
      <c r="C441" t="s">
        <v>216</v>
      </c>
      <c r="D441" s="12">
        <v>138.9</v>
      </c>
      <c r="E441" s="11">
        <v>0.0072516316171138</v>
      </c>
    </row>
    <row r="442" spans="1:5">
      <c r="A442" s="13">
        <v>44105</v>
      </c>
      <c r="B442" t="s">
        <v>213</v>
      </c>
      <c r="C442" t="s">
        <v>214</v>
      </c>
      <c r="D442" s="12">
        <v>152.5</v>
      </c>
      <c r="E442" s="11">
        <v>0.0248655913978492</v>
      </c>
    </row>
    <row r="443" spans="1:5">
      <c r="A443" s="13">
        <v>44105</v>
      </c>
      <c r="B443" t="s">
        <v>213</v>
      </c>
      <c r="C443" t="s">
        <v>220</v>
      </c>
      <c r="D443" s="12">
        <v>145</v>
      </c>
      <c r="E443" s="11">
        <v>0.0685335298452469</v>
      </c>
    </row>
    <row r="444" spans="1:5">
      <c r="A444" s="13">
        <v>44105</v>
      </c>
      <c r="B444" t="s">
        <v>213</v>
      </c>
      <c r="C444" t="s">
        <v>217</v>
      </c>
      <c r="D444" s="12">
        <v>149.4</v>
      </c>
      <c r="E444" s="11">
        <v>0.0897155361050328</v>
      </c>
    </row>
    <row r="445" spans="1:5">
      <c r="A445" s="13">
        <v>44105</v>
      </c>
      <c r="B445" t="s">
        <v>215</v>
      </c>
      <c r="C445" t="s">
        <v>216</v>
      </c>
      <c r="D445" s="12">
        <v>140.8</v>
      </c>
      <c r="E445" s="11">
        <v>0.0035637918745545</v>
      </c>
    </row>
    <row r="446" spans="1:5">
      <c r="A446" s="13">
        <v>44105</v>
      </c>
      <c r="B446" t="s">
        <v>213</v>
      </c>
      <c r="C446" t="s">
        <v>218</v>
      </c>
      <c r="D446" s="12">
        <v>163.7</v>
      </c>
      <c r="E446" s="11">
        <v>0.0129950495049504</v>
      </c>
    </row>
    <row r="447" spans="1:5">
      <c r="A447" s="13">
        <v>44136</v>
      </c>
      <c r="B447" t="s">
        <v>215</v>
      </c>
      <c r="C447" t="s">
        <v>216</v>
      </c>
      <c r="D447" s="12">
        <v>140.7</v>
      </c>
      <c r="E447" s="11">
        <v>0.0057183702644745</v>
      </c>
    </row>
    <row r="448" spans="1:5">
      <c r="A448" s="13">
        <v>44136</v>
      </c>
      <c r="B448" t="s">
        <v>213</v>
      </c>
      <c r="C448" t="s">
        <v>217</v>
      </c>
      <c r="D448" s="12">
        <v>148.8</v>
      </c>
      <c r="E448" s="11">
        <v>0.029757785467128</v>
      </c>
    </row>
    <row r="449" spans="1:5">
      <c r="A449" s="13">
        <v>44136</v>
      </c>
      <c r="B449" t="s">
        <v>213</v>
      </c>
      <c r="C449" t="s">
        <v>218</v>
      </c>
      <c r="D449" s="12">
        <v>161.1</v>
      </c>
      <c r="E449" s="11">
        <v>-0.0080049261083744</v>
      </c>
    </row>
    <row r="450" spans="1:5">
      <c r="A450" s="13">
        <v>44136</v>
      </c>
      <c r="B450" t="s">
        <v>213</v>
      </c>
      <c r="C450" t="s">
        <v>219</v>
      </c>
      <c r="D450" s="12">
        <v>171</v>
      </c>
      <c r="E450" s="11">
        <v>0.0184633710541988</v>
      </c>
    </row>
    <row r="451" spans="1:5">
      <c r="A451" s="13">
        <v>44136</v>
      </c>
      <c r="B451" t="s">
        <v>213</v>
      </c>
      <c r="C451" t="s">
        <v>214</v>
      </c>
      <c r="D451" s="12">
        <v>152.9</v>
      </c>
      <c r="E451" s="11">
        <v>0.0159468438538206</v>
      </c>
    </row>
    <row r="452" spans="1:5">
      <c r="A452" s="13">
        <v>44136</v>
      </c>
      <c r="B452" t="s">
        <v>213</v>
      </c>
      <c r="C452" t="s">
        <v>220</v>
      </c>
      <c r="D452" s="12">
        <v>144.8</v>
      </c>
      <c r="E452" s="11">
        <v>0.0485155684286751</v>
      </c>
    </row>
    <row r="453" spans="1:5">
      <c r="A453" s="13">
        <v>44136</v>
      </c>
      <c r="B453" t="s">
        <v>221</v>
      </c>
      <c r="C453" t="s">
        <v>217</v>
      </c>
      <c r="D453" s="12">
        <v>150</v>
      </c>
      <c r="E453" s="11">
        <v>0.0288065843621398</v>
      </c>
    </row>
    <row r="454" spans="1:5">
      <c r="A454" s="13">
        <v>44136</v>
      </c>
      <c r="B454" t="s">
        <v>221</v>
      </c>
      <c r="C454" t="s">
        <v>218</v>
      </c>
      <c r="D454" s="12">
        <v>155.2</v>
      </c>
      <c r="E454" s="11">
        <v>-0.0076726342710998</v>
      </c>
    </row>
    <row r="455" spans="1:5">
      <c r="A455" s="13">
        <v>44136</v>
      </c>
      <c r="B455" t="s">
        <v>221</v>
      </c>
      <c r="C455" t="s">
        <v>220</v>
      </c>
      <c r="D455" s="12">
        <v>141.6</v>
      </c>
      <c r="E455" s="11">
        <v>0.0328227571115973</v>
      </c>
    </row>
    <row r="456" spans="1:5">
      <c r="A456" s="13">
        <v>44136</v>
      </c>
      <c r="B456" t="s">
        <v>221</v>
      </c>
      <c r="C456" t="s">
        <v>219</v>
      </c>
      <c r="D456" s="12">
        <v>170.9</v>
      </c>
      <c r="E456" s="11">
        <v>0.0227408737283065</v>
      </c>
    </row>
    <row r="457" spans="1:5">
      <c r="A457" s="13">
        <v>44136</v>
      </c>
      <c r="B457" t="s">
        <v>221</v>
      </c>
      <c r="C457" t="s">
        <v>214</v>
      </c>
      <c r="D457" s="12">
        <v>150.6</v>
      </c>
      <c r="E457" s="11">
        <v>0.0161943319838056</v>
      </c>
    </row>
    <row r="458" spans="1:5">
      <c r="A458" s="13">
        <v>44136</v>
      </c>
      <c r="B458" t="s">
        <v>221</v>
      </c>
      <c r="C458" t="s">
        <v>216</v>
      </c>
      <c r="D458" s="12">
        <v>137.7</v>
      </c>
      <c r="E458" s="11">
        <v>0.009530791788856</v>
      </c>
    </row>
    <row r="459" spans="1:5">
      <c r="A459" s="13">
        <v>44136</v>
      </c>
      <c r="B459" t="s">
        <v>213</v>
      </c>
      <c r="C459" t="s">
        <v>216</v>
      </c>
      <c r="D459" s="12">
        <v>139</v>
      </c>
      <c r="E459" s="11">
        <v>0.009440813362382</v>
      </c>
    </row>
    <row r="460" spans="1:5">
      <c r="A460" s="13">
        <v>44166</v>
      </c>
      <c r="B460" t="s">
        <v>221</v>
      </c>
      <c r="C460" t="s">
        <v>216</v>
      </c>
      <c r="D460" s="12">
        <v>137.4</v>
      </c>
      <c r="E460" s="11">
        <v>0.0073313782991202</v>
      </c>
    </row>
    <row r="461" spans="1:5">
      <c r="A461" s="13">
        <v>44166</v>
      </c>
      <c r="B461" t="s">
        <v>221</v>
      </c>
      <c r="C461" t="s">
        <v>214</v>
      </c>
      <c r="D461" s="12">
        <v>150.2</v>
      </c>
      <c r="E461" s="11">
        <v>0.0053547523427039</v>
      </c>
    </row>
    <row r="462" spans="1:5">
      <c r="A462" s="13">
        <v>44166</v>
      </c>
      <c r="B462" t="s">
        <v>221</v>
      </c>
      <c r="C462" t="s">
        <v>219</v>
      </c>
      <c r="D462" s="12">
        <v>170</v>
      </c>
      <c r="E462" s="11">
        <v>0.024713682941531</v>
      </c>
    </row>
    <row r="463" spans="1:5">
      <c r="A463" s="13">
        <v>44166</v>
      </c>
      <c r="B463" t="s">
        <v>221</v>
      </c>
      <c r="C463" t="s">
        <v>220</v>
      </c>
      <c r="D463" s="12">
        <v>141.5</v>
      </c>
      <c r="E463" s="11">
        <v>0.0223988439306357</v>
      </c>
    </row>
    <row r="464" spans="1:5">
      <c r="A464" s="13">
        <v>44166</v>
      </c>
      <c r="B464" t="s">
        <v>221</v>
      </c>
      <c r="C464" t="s">
        <v>218</v>
      </c>
      <c r="D464" s="12">
        <v>156.4</v>
      </c>
      <c r="E464" s="11">
        <v>-0.0031867431485022</v>
      </c>
    </row>
    <row r="465" spans="1:5">
      <c r="A465" s="13">
        <v>44166</v>
      </c>
      <c r="B465" t="s">
        <v>221</v>
      </c>
      <c r="C465" t="s">
        <v>217</v>
      </c>
      <c r="D465" s="12">
        <v>150.4</v>
      </c>
      <c r="E465" s="11">
        <v>-0.0214703968770331</v>
      </c>
    </row>
    <row r="466" spans="1:5">
      <c r="A466" s="13">
        <v>44166</v>
      </c>
      <c r="B466" t="s">
        <v>213</v>
      </c>
      <c r="C466" t="s">
        <v>216</v>
      </c>
      <c r="D466" s="12">
        <v>138.8</v>
      </c>
      <c r="E466" s="11">
        <v>0.0072568940493469</v>
      </c>
    </row>
    <row r="467" spans="1:5">
      <c r="A467" s="13">
        <v>44166</v>
      </c>
      <c r="B467" t="s">
        <v>213</v>
      </c>
      <c r="C467" t="s">
        <v>214</v>
      </c>
      <c r="D467" s="12">
        <v>153.2</v>
      </c>
      <c r="E467" s="11">
        <v>0.0019620667102679</v>
      </c>
    </row>
    <row r="468" spans="1:5">
      <c r="A468" s="13">
        <v>44166</v>
      </c>
      <c r="B468" t="s">
        <v>213</v>
      </c>
      <c r="C468" t="s">
        <v>218</v>
      </c>
      <c r="D468" s="12">
        <v>162.8</v>
      </c>
      <c r="E468" s="11">
        <v>-0.0036719706242349</v>
      </c>
    </row>
    <row r="469" spans="1:5">
      <c r="A469" s="13">
        <v>44166</v>
      </c>
      <c r="B469" t="s">
        <v>213</v>
      </c>
      <c r="C469" t="s">
        <v>220</v>
      </c>
      <c r="D469" s="12">
        <v>145.6</v>
      </c>
      <c r="E469" s="11">
        <v>0.0429799426934096</v>
      </c>
    </row>
    <row r="470" spans="1:5">
      <c r="A470" s="13">
        <v>44166</v>
      </c>
      <c r="B470" t="s">
        <v>213</v>
      </c>
      <c r="C470" t="s">
        <v>219</v>
      </c>
      <c r="D470" s="12">
        <v>171.1</v>
      </c>
      <c r="E470" s="11">
        <v>0.0154302670623145</v>
      </c>
    </row>
    <row r="471" spans="1:5">
      <c r="A471" s="13">
        <v>44166</v>
      </c>
      <c r="B471" t="s">
        <v>213</v>
      </c>
      <c r="C471" t="s">
        <v>217</v>
      </c>
      <c r="D471" s="12">
        <v>150.9</v>
      </c>
      <c r="E471" s="11">
        <v>-0.0295819935691318</v>
      </c>
    </row>
    <row r="472" spans="1:5">
      <c r="A472" s="13">
        <v>44166</v>
      </c>
      <c r="B472" t="s">
        <v>215</v>
      </c>
      <c r="C472" t="s">
        <v>216</v>
      </c>
      <c r="D472" s="12">
        <v>140.5</v>
      </c>
      <c r="E472" s="11">
        <v>0.0028551034975017</v>
      </c>
    </row>
    <row r="473" spans="1:5">
      <c r="A473" s="13">
        <v>44197</v>
      </c>
      <c r="B473" t="s">
        <v>215</v>
      </c>
      <c r="C473" t="s">
        <v>216</v>
      </c>
      <c r="D473" s="12">
        <v>141</v>
      </c>
      <c r="E473" s="11">
        <v>0.0078627591136526</v>
      </c>
    </row>
    <row r="474" spans="1:5">
      <c r="A474" s="13">
        <v>44197</v>
      </c>
      <c r="B474" t="s">
        <v>213</v>
      </c>
      <c r="C474" t="s">
        <v>217</v>
      </c>
      <c r="D474" s="12">
        <v>156.9</v>
      </c>
      <c r="E474" s="11">
        <v>0.0175097276264593</v>
      </c>
    </row>
    <row r="475" spans="1:5">
      <c r="A475" s="13">
        <v>44197</v>
      </c>
      <c r="B475" t="s">
        <v>213</v>
      </c>
      <c r="C475" t="s">
        <v>218</v>
      </c>
      <c r="D475" s="12">
        <v>160.9</v>
      </c>
      <c r="E475" s="11">
        <v>-0.0159021406727828</v>
      </c>
    </row>
    <row r="476" spans="1:5">
      <c r="A476" s="13">
        <v>44197</v>
      </c>
      <c r="B476" t="s">
        <v>213</v>
      </c>
      <c r="C476" t="s">
        <v>219</v>
      </c>
      <c r="D476" s="12">
        <v>171.5</v>
      </c>
      <c r="E476" s="11">
        <v>0.0064553990610327</v>
      </c>
    </row>
    <row r="477" spans="1:5">
      <c r="A477" s="13">
        <v>44197</v>
      </c>
      <c r="B477" t="s">
        <v>213</v>
      </c>
      <c r="C477" t="s">
        <v>214</v>
      </c>
      <c r="D477" s="12">
        <v>155.1</v>
      </c>
      <c r="E477" s="11">
        <v>0.003883495145631</v>
      </c>
    </row>
    <row r="478" spans="1:5">
      <c r="A478" s="13">
        <v>44197</v>
      </c>
      <c r="B478" t="s">
        <v>221</v>
      </c>
      <c r="C478" t="s">
        <v>216</v>
      </c>
      <c r="D478" s="12">
        <v>138.2</v>
      </c>
      <c r="E478" s="11">
        <v>0.0102339181286548</v>
      </c>
    </row>
    <row r="479" spans="1:5">
      <c r="A479" s="13">
        <v>44197</v>
      </c>
      <c r="B479" t="s">
        <v>221</v>
      </c>
      <c r="C479" t="s">
        <v>217</v>
      </c>
      <c r="D479" s="12">
        <v>154.3</v>
      </c>
      <c r="E479" s="11">
        <v>-0.007717041800643</v>
      </c>
    </row>
    <row r="480" spans="1:5">
      <c r="A480" s="13">
        <v>44197</v>
      </c>
      <c r="B480" t="s">
        <v>221</v>
      </c>
      <c r="C480" t="s">
        <v>218</v>
      </c>
      <c r="D480" s="12">
        <v>154.2</v>
      </c>
      <c r="E480" s="11">
        <v>-0.0172084130019121</v>
      </c>
    </row>
    <row r="481" spans="1:5">
      <c r="A481" s="13">
        <v>44197</v>
      </c>
      <c r="B481" t="s">
        <v>221</v>
      </c>
      <c r="C481" t="s">
        <v>220</v>
      </c>
      <c r="D481" s="12">
        <v>141.6</v>
      </c>
      <c r="E481" s="11">
        <v>0.0201729106628241</v>
      </c>
    </row>
    <row r="482" spans="1:5">
      <c r="A482" s="13">
        <v>44197</v>
      </c>
      <c r="B482" t="s">
        <v>221</v>
      </c>
      <c r="C482" t="s">
        <v>219</v>
      </c>
      <c r="D482" s="12">
        <v>171.9</v>
      </c>
      <c r="E482" s="11">
        <v>0.0117716303708064</v>
      </c>
    </row>
    <row r="483" spans="1:5">
      <c r="A483" s="13">
        <v>44197</v>
      </c>
      <c r="B483" t="s">
        <v>221</v>
      </c>
      <c r="C483" t="s">
        <v>214</v>
      </c>
      <c r="D483" s="12">
        <v>151.7</v>
      </c>
      <c r="E483" s="11">
        <v>0.00065963060686</v>
      </c>
    </row>
    <row r="484" spans="1:5">
      <c r="A484" s="13">
        <v>44197</v>
      </c>
      <c r="B484" t="s">
        <v>213</v>
      </c>
      <c r="C484" t="s">
        <v>216</v>
      </c>
      <c r="D484" s="12">
        <v>139.5</v>
      </c>
      <c r="E484" s="11">
        <v>0.0108695652173913</v>
      </c>
    </row>
    <row r="485" spans="1:5">
      <c r="A485" s="13">
        <v>44197</v>
      </c>
      <c r="B485" t="s">
        <v>213</v>
      </c>
      <c r="C485" t="s">
        <v>220</v>
      </c>
      <c r="D485" s="12">
        <v>145.5</v>
      </c>
      <c r="E485" s="11">
        <v>0.0319148936170212</v>
      </c>
    </row>
    <row r="486" spans="1:5">
      <c r="A486" s="13">
        <v>44228</v>
      </c>
      <c r="B486" t="s">
        <v>215</v>
      </c>
      <c r="C486" t="s">
        <v>216</v>
      </c>
      <c r="D486" s="12">
        <v>141.7</v>
      </c>
      <c r="E486" s="11">
        <v>0.0085409252669037</v>
      </c>
    </row>
    <row r="487" spans="1:5">
      <c r="A487" s="13">
        <v>44228</v>
      </c>
      <c r="B487" t="s">
        <v>213</v>
      </c>
      <c r="C487" t="s">
        <v>217</v>
      </c>
      <c r="D487" s="12">
        <v>158.5</v>
      </c>
      <c r="E487" s="11">
        <v>0.060200668896321</v>
      </c>
    </row>
    <row r="488" spans="1:5">
      <c r="A488" s="13">
        <v>44228</v>
      </c>
      <c r="B488" t="s">
        <v>213</v>
      </c>
      <c r="C488" t="s">
        <v>218</v>
      </c>
      <c r="D488" s="12">
        <v>162.8</v>
      </c>
      <c r="E488" s="11">
        <v>-0.0067114093959731</v>
      </c>
    </row>
    <row r="489" spans="1:5">
      <c r="A489" s="13">
        <v>44228</v>
      </c>
      <c r="B489" t="s">
        <v>213</v>
      </c>
      <c r="C489" t="s">
        <v>220</v>
      </c>
      <c r="D489" s="12">
        <v>146.1</v>
      </c>
      <c r="E489" s="11">
        <v>0.0281491907107671</v>
      </c>
    </row>
    <row r="490" spans="1:5">
      <c r="A490" s="13">
        <v>44228</v>
      </c>
      <c r="B490" t="s">
        <v>213</v>
      </c>
      <c r="C490" t="s">
        <v>219</v>
      </c>
      <c r="D490" s="12">
        <v>168</v>
      </c>
      <c r="E490" s="11">
        <v>-0.0094339622641509</v>
      </c>
    </row>
    <row r="491" spans="1:5">
      <c r="A491" s="13">
        <v>44228</v>
      </c>
      <c r="B491" t="s">
        <v>221</v>
      </c>
      <c r="C491" t="s">
        <v>217</v>
      </c>
      <c r="D491" s="12">
        <v>156.5</v>
      </c>
      <c r="E491" s="11">
        <v>0.0336856010568031</v>
      </c>
    </row>
    <row r="492" spans="1:5">
      <c r="A492" s="13">
        <v>44228</v>
      </c>
      <c r="B492" t="s">
        <v>213</v>
      </c>
      <c r="C492" t="s">
        <v>216</v>
      </c>
      <c r="D492" s="12">
        <v>140.2</v>
      </c>
      <c r="E492" s="11">
        <v>0.0108147080028839</v>
      </c>
    </row>
    <row r="493" spans="1:5">
      <c r="A493" s="13">
        <v>44228</v>
      </c>
      <c r="B493" t="s">
        <v>221</v>
      </c>
      <c r="C493" t="s">
        <v>216</v>
      </c>
      <c r="D493" s="12">
        <v>138.9</v>
      </c>
      <c r="E493" s="11">
        <v>0.0109170305676855</v>
      </c>
    </row>
    <row r="494" spans="1:5">
      <c r="A494" s="13">
        <v>44228</v>
      </c>
      <c r="B494" t="s">
        <v>221</v>
      </c>
      <c r="C494" t="s">
        <v>214</v>
      </c>
      <c r="D494" s="12">
        <v>152.6</v>
      </c>
      <c r="E494" s="11">
        <v>0.0132802124833997</v>
      </c>
    </row>
    <row r="495" spans="1:5">
      <c r="A495" s="13">
        <v>44228</v>
      </c>
      <c r="B495" t="s">
        <v>213</v>
      </c>
      <c r="C495" t="s">
        <v>214</v>
      </c>
      <c r="D495" s="12">
        <v>155</v>
      </c>
      <c r="E495" s="11">
        <v>0.0124101894186805</v>
      </c>
    </row>
    <row r="496" spans="1:5">
      <c r="A496" s="13">
        <v>44228</v>
      </c>
      <c r="B496" t="s">
        <v>221</v>
      </c>
      <c r="C496" t="s">
        <v>220</v>
      </c>
      <c r="D496" s="12">
        <v>143.1</v>
      </c>
      <c r="E496" s="11">
        <v>0.0185053380782918</v>
      </c>
    </row>
    <row r="497" spans="1:5">
      <c r="A497" s="13">
        <v>44228</v>
      </c>
      <c r="B497" t="s">
        <v>221</v>
      </c>
      <c r="C497" t="s">
        <v>219</v>
      </c>
      <c r="D497" s="12">
        <v>169.5</v>
      </c>
      <c r="E497" s="11">
        <v>0.0071301247771835</v>
      </c>
    </row>
    <row r="498" spans="1:5">
      <c r="A498" s="13">
        <v>44228</v>
      </c>
      <c r="B498" t="s">
        <v>221</v>
      </c>
      <c r="C498" t="s">
        <v>218</v>
      </c>
      <c r="D498" s="12">
        <v>157.1</v>
      </c>
      <c r="E498" s="11">
        <v>-0.0050664977834072</v>
      </c>
    </row>
    <row r="499" spans="1:5">
      <c r="A499" s="13">
        <v>44256</v>
      </c>
      <c r="B499" t="s">
        <v>215</v>
      </c>
      <c r="C499" t="s">
        <v>216</v>
      </c>
      <c r="D499" s="12">
        <v>142.5</v>
      </c>
      <c r="E499" s="11">
        <v>0.0171306209850108</v>
      </c>
    </row>
    <row r="500" spans="1:5">
      <c r="A500" s="13">
        <v>44256</v>
      </c>
      <c r="B500" t="s">
        <v>213</v>
      </c>
      <c r="C500" t="s">
        <v>217</v>
      </c>
      <c r="D500" s="12">
        <v>153.1</v>
      </c>
      <c r="E500" s="11">
        <v>0.0631944444444443</v>
      </c>
    </row>
    <row r="501" spans="1:5">
      <c r="A501" s="13">
        <v>44256</v>
      </c>
      <c r="B501" t="s">
        <v>213</v>
      </c>
      <c r="C501" t="s">
        <v>218</v>
      </c>
      <c r="D501" s="12">
        <v>162.9</v>
      </c>
      <c r="E501" s="11">
        <v>-0.0222088835534213</v>
      </c>
    </row>
    <row r="502" spans="1:5">
      <c r="A502" s="13">
        <v>44256</v>
      </c>
      <c r="B502" t="s">
        <v>213</v>
      </c>
      <c r="C502" t="s">
        <v>220</v>
      </c>
      <c r="D502" s="12">
        <v>148.1</v>
      </c>
      <c r="E502" s="11">
        <v>0.0313370473537604</v>
      </c>
    </row>
    <row r="503" spans="1:5">
      <c r="A503" s="13">
        <v>44256</v>
      </c>
      <c r="B503" t="s">
        <v>213</v>
      </c>
      <c r="C503" t="s">
        <v>214</v>
      </c>
      <c r="D503" s="12">
        <v>155.7</v>
      </c>
      <c r="E503" s="11">
        <v>0.0149934810951759</v>
      </c>
    </row>
    <row r="504" spans="1:5">
      <c r="A504" s="13">
        <v>44256</v>
      </c>
      <c r="B504" t="s">
        <v>213</v>
      </c>
      <c r="C504" t="s">
        <v>219</v>
      </c>
      <c r="D504" s="12">
        <v>171.3</v>
      </c>
      <c r="E504" s="11">
        <v>-0.0005834305717619</v>
      </c>
    </row>
    <row r="505" spans="1:5">
      <c r="A505" s="13">
        <v>44256</v>
      </c>
      <c r="B505" t="s">
        <v>221</v>
      </c>
      <c r="C505" t="s">
        <v>218</v>
      </c>
      <c r="D505" s="12">
        <v>156.8</v>
      </c>
      <c r="E505" s="11">
        <v>-0.0175438596491227</v>
      </c>
    </row>
    <row r="506" spans="1:5">
      <c r="A506" s="13">
        <v>44256</v>
      </c>
      <c r="B506" t="s">
        <v>221</v>
      </c>
      <c r="C506" t="s">
        <v>220</v>
      </c>
      <c r="D506" s="12">
        <v>144.9</v>
      </c>
      <c r="E506" s="11">
        <v>0.0327868852459016</v>
      </c>
    </row>
    <row r="507" spans="1:5">
      <c r="A507" s="13">
        <v>44256</v>
      </c>
      <c r="B507" t="s">
        <v>221</v>
      </c>
      <c r="C507" t="s">
        <v>219</v>
      </c>
      <c r="D507" s="12">
        <v>170.2</v>
      </c>
      <c r="E507" s="11">
        <v>-0.0011737089201878</v>
      </c>
    </row>
    <row r="508" spans="1:5">
      <c r="A508" s="13">
        <v>44256</v>
      </c>
      <c r="B508" t="s">
        <v>221</v>
      </c>
      <c r="C508" t="s">
        <v>214</v>
      </c>
      <c r="D508" s="12">
        <v>152.5</v>
      </c>
      <c r="E508" s="11">
        <v>0.0132890365448505</v>
      </c>
    </row>
    <row r="509" spans="1:5">
      <c r="A509" s="13">
        <v>44256</v>
      </c>
      <c r="B509" t="s">
        <v>221</v>
      </c>
      <c r="C509" t="s">
        <v>216</v>
      </c>
      <c r="D509" s="12">
        <v>139.6</v>
      </c>
      <c r="E509" s="11">
        <v>0.0219619326500732</v>
      </c>
    </row>
    <row r="510" spans="1:5">
      <c r="A510" s="13">
        <v>44256</v>
      </c>
      <c r="B510" t="s">
        <v>213</v>
      </c>
      <c r="C510" t="s">
        <v>216</v>
      </c>
      <c r="D510" s="12">
        <v>141</v>
      </c>
      <c r="E510" s="11">
        <v>0.0224800580130528</v>
      </c>
    </row>
    <row r="511" spans="1:5">
      <c r="A511" s="13">
        <v>44256</v>
      </c>
      <c r="B511" t="s">
        <v>221</v>
      </c>
      <c r="C511" t="s">
        <v>217</v>
      </c>
      <c r="D511" s="12">
        <v>150.8</v>
      </c>
      <c r="E511" s="11">
        <v>0.0300546448087433</v>
      </c>
    </row>
    <row r="512" spans="1:5">
      <c r="A512" s="13">
        <v>44287</v>
      </c>
      <c r="B512" t="s">
        <v>221</v>
      </c>
      <c r="C512" t="s">
        <v>216</v>
      </c>
      <c r="D512" s="12">
        <v>140.3</v>
      </c>
      <c r="E512" s="11">
        <v>0.0338983050847458</v>
      </c>
    </row>
    <row r="513" spans="1:5">
      <c r="A513" s="13">
        <v>44287</v>
      </c>
      <c r="B513" t="s">
        <v>221</v>
      </c>
      <c r="C513" t="s">
        <v>214</v>
      </c>
      <c r="D513" s="12">
        <v>152</v>
      </c>
      <c r="E513" s="11">
        <v>0.0006583278472678</v>
      </c>
    </row>
    <row r="514" spans="1:5">
      <c r="A514" s="13">
        <v>44287</v>
      </c>
      <c r="B514" t="s">
        <v>221</v>
      </c>
      <c r="C514" t="s">
        <v>219</v>
      </c>
      <c r="D514" s="12">
        <v>173.5</v>
      </c>
      <c r="E514" s="11">
        <v>0.0205882352941175</v>
      </c>
    </row>
    <row r="515" spans="1:5">
      <c r="A515" s="13">
        <v>44287</v>
      </c>
      <c r="B515" t="s">
        <v>221</v>
      </c>
      <c r="C515" t="s">
        <v>218</v>
      </c>
      <c r="D515" s="12">
        <v>156.2</v>
      </c>
      <c r="E515" s="11">
        <v>-0.015752993068683</v>
      </c>
    </row>
    <row r="516" spans="1:5">
      <c r="A516" s="13">
        <v>44287</v>
      </c>
      <c r="B516" t="s">
        <v>213</v>
      </c>
      <c r="C516" t="s">
        <v>216</v>
      </c>
      <c r="D516" s="12">
        <v>141.8</v>
      </c>
      <c r="E516" s="11">
        <v>0.0327749453750909</v>
      </c>
    </row>
    <row r="517" spans="1:5">
      <c r="A517" s="13">
        <v>44287</v>
      </c>
      <c r="B517" t="s">
        <v>213</v>
      </c>
      <c r="C517" t="s">
        <v>214</v>
      </c>
      <c r="D517" s="12">
        <v>155.2</v>
      </c>
      <c r="E517" s="11">
        <v>-0.0025706940874036</v>
      </c>
    </row>
    <row r="518" spans="1:5">
      <c r="A518" s="13">
        <v>44287</v>
      </c>
      <c r="B518" t="s">
        <v>213</v>
      </c>
      <c r="C518" t="s">
        <v>219</v>
      </c>
      <c r="D518" s="12">
        <v>174.7</v>
      </c>
      <c r="E518" s="11">
        <v>0.0234329232571763</v>
      </c>
    </row>
    <row r="519" spans="1:5">
      <c r="A519" s="13">
        <v>44287</v>
      </c>
      <c r="B519" t="s">
        <v>213</v>
      </c>
      <c r="C519" t="s">
        <v>220</v>
      </c>
      <c r="D519" s="12">
        <v>149.5</v>
      </c>
      <c r="E519" s="11">
        <v>0.0246744345442082</v>
      </c>
    </row>
    <row r="520" spans="1:5">
      <c r="A520" s="13">
        <v>44287</v>
      </c>
      <c r="B520" t="s">
        <v>213</v>
      </c>
      <c r="C520" t="s">
        <v>218</v>
      </c>
      <c r="D520" s="12">
        <v>161.1</v>
      </c>
      <c r="E520" s="11">
        <v>-0.037059175134489</v>
      </c>
    </row>
    <row r="521" spans="1:5">
      <c r="A521" s="13">
        <v>44287</v>
      </c>
      <c r="B521" t="s">
        <v>213</v>
      </c>
      <c r="C521" t="s">
        <v>217</v>
      </c>
      <c r="D521" s="12">
        <v>150</v>
      </c>
      <c r="E521" s="11">
        <v>-0.015101772816809</v>
      </c>
    </row>
    <row r="522" spans="1:5">
      <c r="A522" s="13">
        <v>44287</v>
      </c>
      <c r="B522" t="s">
        <v>215</v>
      </c>
      <c r="C522" t="s">
        <v>216</v>
      </c>
      <c r="D522" s="12">
        <v>143.1</v>
      </c>
      <c r="E522" s="11">
        <v>0.0236051502145921</v>
      </c>
    </row>
    <row r="523" spans="1:5">
      <c r="A523" s="13">
        <v>44287</v>
      </c>
      <c r="B523" t="s">
        <v>221</v>
      </c>
      <c r="C523" t="s">
        <v>217</v>
      </c>
      <c r="D523" s="12">
        <v>146</v>
      </c>
      <c r="E523" s="11">
        <v>-0.0318302387267904</v>
      </c>
    </row>
    <row r="524" spans="1:5">
      <c r="A524" s="13">
        <v>44287</v>
      </c>
      <c r="B524" t="s">
        <v>221</v>
      </c>
      <c r="C524" t="s">
        <v>220</v>
      </c>
      <c r="D524" s="12">
        <v>146.1</v>
      </c>
      <c r="E524" s="11">
        <v>0.0231092436974789</v>
      </c>
    </row>
    <row r="525" spans="1:5">
      <c r="A525" s="13">
        <v>44317</v>
      </c>
      <c r="B525" t="s">
        <v>215</v>
      </c>
      <c r="C525" t="s">
        <v>216</v>
      </c>
      <c r="D525" s="12">
        <v>143.7</v>
      </c>
      <c r="E525" s="11">
        <v>0.0286327845382963</v>
      </c>
    </row>
    <row r="526" spans="1:5">
      <c r="A526" s="13">
        <v>44317</v>
      </c>
      <c r="B526" t="s">
        <v>213</v>
      </c>
      <c r="C526" t="s">
        <v>217</v>
      </c>
      <c r="D526" s="12">
        <v>150.4</v>
      </c>
      <c r="E526" s="11">
        <v>0.018970189701897</v>
      </c>
    </row>
    <row r="527" spans="1:5">
      <c r="A527" s="13">
        <v>44317</v>
      </c>
      <c r="B527" t="s">
        <v>213</v>
      </c>
      <c r="C527" t="s">
        <v>218</v>
      </c>
      <c r="D527" s="12">
        <v>165</v>
      </c>
      <c r="E527" s="11">
        <v>-0.0107913669064748</v>
      </c>
    </row>
    <row r="528" spans="1:5">
      <c r="A528" s="13">
        <v>44317</v>
      </c>
      <c r="B528" t="s">
        <v>213</v>
      </c>
      <c r="C528" t="s">
        <v>220</v>
      </c>
      <c r="D528" s="12">
        <v>150.5</v>
      </c>
      <c r="E528" s="11">
        <v>0.0322359396433469</v>
      </c>
    </row>
    <row r="529" spans="1:5">
      <c r="A529" s="13">
        <v>44317</v>
      </c>
      <c r="B529" t="s">
        <v>213</v>
      </c>
      <c r="C529" t="s">
        <v>219</v>
      </c>
      <c r="D529" s="12">
        <v>175</v>
      </c>
      <c r="E529" s="11">
        <v>0.0045924225028703</v>
      </c>
    </row>
    <row r="530" spans="1:5">
      <c r="A530" s="13">
        <v>44317</v>
      </c>
      <c r="B530" t="s">
        <v>213</v>
      </c>
      <c r="C530" t="s">
        <v>216</v>
      </c>
      <c r="D530" s="12">
        <v>142.6</v>
      </c>
      <c r="E530" s="11">
        <v>0.037090909090909</v>
      </c>
    </row>
    <row r="531" spans="1:5">
      <c r="A531" s="13">
        <v>44317</v>
      </c>
      <c r="B531" t="s">
        <v>221</v>
      </c>
      <c r="C531" t="s">
        <v>217</v>
      </c>
      <c r="D531" s="12">
        <v>149</v>
      </c>
      <c r="E531" s="11">
        <v>0.0053981106612686</v>
      </c>
    </row>
    <row r="532" spans="1:5">
      <c r="A532" s="13">
        <v>44317</v>
      </c>
      <c r="B532" t="s">
        <v>221</v>
      </c>
      <c r="C532" t="s">
        <v>218</v>
      </c>
      <c r="D532" s="12">
        <v>157.8</v>
      </c>
      <c r="E532" s="11">
        <v>-0.0149812734082395</v>
      </c>
    </row>
    <row r="533" spans="1:5">
      <c r="A533" s="13">
        <v>44317</v>
      </c>
      <c r="B533" t="s">
        <v>221</v>
      </c>
      <c r="C533" t="s">
        <v>220</v>
      </c>
      <c r="D533" s="12">
        <v>146.6</v>
      </c>
      <c r="E533" s="11">
        <v>0.0266106442577029</v>
      </c>
    </row>
    <row r="534" spans="1:5">
      <c r="A534" s="13">
        <v>44317</v>
      </c>
      <c r="B534" t="s">
        <v>221</v>
      </c>
      <c r="C534" t="s">
        <v>219</v>
      </c>
      <c r="D534" s="12">
        <v>175.4</v>
      </c>
      <c r="E534" s="11">
        <v>0.0109510086455331</v>
      </c>
    </row>
    <row r="535" spans="1:5">
      <c r="A535" s="13">
        <v>44317</v>
      </c>
      <c r="B535" t="s">
        <v>221</v>
      </c>
      <c r="C535" t="s">
        <v>214</v>
      </c>
      <c r="D535" s="12">
        <v>153.6</v>
      </c>
      <c r="E535" s="11">
        <v>0.0085357846355875</v>
      </c>
    </row>
    <row r="536" spans="1:5">
      <c r="A536" s="13">
        <v>44317</v>
      </c>
      <c r="B536" t="s">
        <v>221</v>
      </c>
      <c r="C536" t="s">
        <v>216</v>
      </c>
      <c r="D536" s="12">
        <v>141</v>
      </c>
      <c r="E536" s="11">
        <v>0.0360029390154299</v>
      </c>
    </row>
    <row r="537" spans="1:5">
      <c r="A537" s="13">
        <v>44317</v>
      </c>
      <c r="B537" t="s">
        <v>213</v>
      </c>
      <c r="C537" t="s">
        <v>214</v>
      </c>
      <c r="D537" s="12">
        <v>156.4</v>
      </c>
      <c r="E537" s="11">
        <v>0.008381689232753</v>
      </c>
    </row>
    <row r="538" spans="1:5">
      <c r="A538" s="13">
        <v>44348</v>
      </c>
      <c r="B538" t="s">
        <v>213</v>
      </c>
      <c r="C538" t="s">
        <v>220</v>
      </c>
      <c r="D538" s="12">
        <v>148.8</v>
      </c>
      <c r="E538" s="11">
        <v>0.0177838577291382</v>
      </c>
    </row>
    <row r="539" spans="1:5">
      <c r="A539" s="13">
        <v>44348</v>
      </c>
      <c r="B539" t="s">
        <v>215</v>
      </c>
      <c r="C539" t="s">
        <v>216</v>
      </c>
      <c r="D539" s="12">
        <v>144.2</v>
      </c>
      <c r="E539" s="11">
        <v>0.0248756218905472</v>
      </c>
    </row>
    <row r="540" spans="1:5">
      <c r="A540" s="13">
        <v>44348</v>
      </c>
      <c r="B540" t="s">
        <v>213</v>
      </c>
      <c r="C540" t="s">
        <v>217</v>
      </c>
      <c r="D540" s="12">
        <v>151.2</v>
      </c>
      <c r="E540" s="11">
        <v>-0.0091743119266055</v>
      </c>
    </row>
    <row r="541" spans="1:5">
      <c r="A541" s="13">
        <v>44348</v>
      </c>
      <c r="B541" t="s">
        <v>213</v>
      </c>
      <c r="C541" t="s">
        <v>218</v>
      </c>
      <c r="D541" s="12">
        <v>164.7</v>
      </c>
      <c r="E541" s="11">
        <v>-0.0072332730560579</v>
      </c>
    </row>
    <row r="542" spans="1:5">
      <c r="A542" s="13">
        <v>44348</v>
      </c>
      <c r="B542" t="s">
        <v>213</v>
      </c>
      <c r="C542" t="s">
        <v>219</v>
      </c>
      <c r="D542" s="12">
        <v>176.4</v>
      </c>
      <c r="E542" s="11">
        <v>-0.0039525691699604</v>
      </c>
    </row>
    <row r="543" spans="1:5">
      <c r="A543" s="13">
        <v>44348</v>
      </c>
      <c r="B543" t="s">
        <v>221</v>
      </c>
      <c r="C543" t="s">
        <v>220</v>
      </c>
      <c r="D543" s="12">
        <v>145.3</v>
      </c>
      <c r="E543" s="11">
        <v>0.0225193525686138</v>
      </c>
    </row>
    <row r="544" spans="1:5">
      <c r="A544" s="13">
        <v>44348</v>
      </c>
      <c r="B544" t="s">
        <v>213</v>
      </c>
      <c r="C544" t="s">
        <v>216</v>
      </c>
      <c r="D544" s="12">
        <v>143.1</v>
      </c>
      <c r="E544" s="11">
        <v>0.0324675324675325</v>
      </c>
    </row>
    <row r="545" spans="1:5">
      <c r="A545" s="13">
        <v>44348</v>
      </c>
      <c r="B545" t="s">
        <v>221</v>
      </c>
      <c r="C545" t="s">
        <v>217</v>
      </c>
      <c r="D545" s="12">
        <v>149</v>
      </c>
      <c r="E545" s="11">
        <v>-0.0229508196721311</v>
      </c>
    </row>
    <row r="546" spans="1:5">
      <c r="A546" s="13">
        <v>44348</v>
      </c>
      <c r="B546" t="s">
        <v>221</v>
      </c>
      <c r="C546" t="s">
        <v>218</v>
      </c>
      <c r="D546" s="12">
        <v>157.7</v>
      </c>
      <c r="E546" s="11">
        <v>-0.0075519194461927</v>
      </c>
    </row>
    <row r="547" spans="1:5">
      <c r="A547" s="13">
        <v>44348</v>
      </c>
      <c r="B547" t="s">
        <v>221</v>
      </c>
      <c r="C547" t="s">
        <v>219</v>
      </c>
      <c r="D547" s="12">
        <v>176.7</v>
      </c>
      <c r="E547" s="11">
        <v>-0.0016949152542373</v>
      </c>
    </row>
    <row r="548" spans="1:5">
      <c r="A548" s="13">
        <v>44348</v>
      </c>
      <c r="B548" t="s">
        <v>221</v>
      </c>
      <c r="C548" t="s">
        <v>214</v>
      </c>
      <c r="D548" s="12">
        <v>153.8</v>
      </c>
      <c r="E548" s="11">
        <v>0.006544502617801</v>
      </c>
    </row>
    <row r="549" spans="1:5">
      <c r="A549" s="13">
        <v>44348</v>
      </c>
      <c r="B549" t="s">
        <v>213</v>
      </c>
      <c r="C549" t="s">
        <v>214</v>
      </c>
      <c r="D549" s="12">
        <v>156.5</v>
      </c>
      <c r="E549" s="11">
        <v>0.0044929396662387</v>
      </c>
    </row>
    <row r="550" spans="1:5">
      <c r="A550" s="13">
        <v>44348</v>
      </c>
      <c r="B550" t="s">
        <v>221</v>
      </c>
      <c r="C550" t="s">
        <v>216</v>
      </c>
      <c r="D550" s="12">
        <v>141.4</v>
      </c>
      <c r="E550" s="11">
        <v>0.0306122448979593</v>
      </c>
    </row>
    <row r="551" spans="1:5">
      <c r="A551" s="13">
        <v>44378</v>
      </c>
      <c r="B551" t="s">
        <v>215</v>
      </c>
      <c r="C551" t="s">
        <v>216</v>
      </c>
      <c r="D551" s="12">
        <v>144.6</v>
      </c>
      <c r="E551" s="11">
        <v>0.0284495021337125</v>
      </c>
    </row>
    <row r="552" spans="1:5">
      <c r="A552" s="13">
        <v>44378</v>
      </c>
      <c r="B552" t="s">
        <v>213</v>
      </c>
      <c r="C552" t="s">
        <v>217</v>
      </c>
      <c r="D552" s="12">
        <v>149.7</v>
      </c>
      <c r="E552" s="11">
        <v>-0.0537294563843236</v>
      </c>
    </row>
    <row r="553" spans="1:5">
      <c r="A553" s="13">
        <v>44378</v>
      </c>
      <c r="B553" t="s">
        <v>213</v>
      </c>
      <c r="C553" t="s">
        <v>218</v>
      </c>
      <c r="D553" s="12">
        <v>165.1</v>
      </c>
      <c r="E553" s="11">
        <v>0.0222910216718266</v>
      </c>
    </row>
    <row r="554" spans="1:5">
      <c r="A554" s="13">
        <v>44378</v>
      </c>
      <c r="B554" t="s">
        <v>213</v>
      </c>
      <c r="C554" t="s">
        <v>220</v>
      </c>
      <c r="D554" s="12">
        <v>151.4</v>
      </c>
      <c r="E554" s="11">
        <v>0.0434183321847003</v>
      </c>
    </row>
    <row r="555" spans="1:5">
      <c r="A555" s="13">
        <v>44378</v>
      </c>
      <c r="B555" t="s">
        <v>213</v>
      </c>
      <c r="C555" t="s">
        <v>219</v>
      </c>
      <c r="D555" s="12">
        <v>180.1</v>
      </c>
      <c r="E555" s="11">
        <v>0.0192416525183927</v>
      </c>
    </row>
    <row r="556" spans="1:5">
      <c r="A556" s="13">
        <v>44378</v>
      </c>
      <c r="B556" t="s">
        <v>221</v>
      </c>
      <c r="C556" t="s">
        <v>218</v>
      </c>
      <c r="D556" s="12">
        <v>157.9</v>
      </c>
      <c r="E556" s="11">
        <v>0.0063734862970044</v>
      </c>
    </row>
    <row r="557" spans="1:5">
      <c r="A557" s="13">
        <v>44378</v>
      </c>
      <c r="B557" t="s">
        <v>221</v>
      </c>
      <c r="C557" t="s">
        <v>220</v>
      </c>
      <c r="D557" s="12">
        <v>146.4</v>
      </c>
      <c r="E557" s="11">
        <v>0.0368271954674221</v>
      </c>
    </row>
    <row r="558" spans="1:5">
      <c r="A558" s="13">
        <v>44378</v>
      </c>
      <c r="B558" t="s">
        <v>221</v>
      </c>
      <c r="C558" t="s">
        <v>219</v>
      </c>
      <c r="D558" s="12">
        <v>180.9</v>
      </c>
      <c r="E558" s="11">
        <v>0.0307692307692308</v>
      </c>
    </row>
    <row r="559" spans="1:5">
      <c r="A559" s="13">
        <v>44378</v>
      </c>
      <c r="B559" t="s">
        <v>221</v>
      </c>
      <c r="C559" t="s">
        <v>214</v>
      </c>
      <c r="D559" s="12">
        <v>154.4</v>
      </c>
      <c r="E559" s="11">
        <v>0.009810333551340601</v>
      </c>
    </row>
    <row r="560" spans="1:5">
      <c r="A560" s="13">
        <v>44378</v>
      </c>
      <c r="B560" t="s">
        <v>221</v>
      </c>
      <c r="C560" t="s">
        <v>216</v>
      </c>
      <c r="D560" s="12">
        <v>142.3</v>
      </c>
      <c r="E560" s="11">
        <v>0.0371720116618077</v>
      </c>
    </row>
    <row r="561" spans="1:5">
      <c r="A561" s="13">
        <v>44378</v>
      </c>
      <c r="B561" t="s">
        <v>213</v>
      </c>
      <c r="C561" t="s">
        <v>216</v>
      </c>
      <c r="D561" s="12">
        <v>143.7</v>
      </c>
      <c r="E561" s="11">
        <v>0.0353025936599422</v>
      </c>
    </row>
    <row r="562" spans="1:5">
      <c r="A562" s="13">
        <v>44378</v>
      </c>
      <c r="B562" t="s">
        <v>213</v>
      </c>
      <c r="C562" t="s">
        <v>214</v>
      </c>
      <c r="D562" s="12">
        <v>157.2</v>
      </c>
      <c r="E562" s="11">
        <v>0.0064020486555698</v>
      </c>
    </row>
    <row r="563" spans="1:5">
      <c r="A563" s="13">
        <v>44378</v>
      </c>
      <c r="B563" t="s">
        <v>221</v>
      </c>
      <c r="C563" t="s">
        <v>217</v>
      </c>
      <c r="D563" s="12">
        <v>148.5</v>
      </c>
      <c r="E563" s="11">
        <v>-0.0456298200514138</v>
      </c>
    </row>
    <row r="564" spans="1:5">
      <c r="A564" s="13">
        <v>44409</v>
      </c>
      <c r="B564" t="s">
        <v>213</v>
      </c>
      <c r="C564" t="s">
        <v>214</v>
      </c>
      <c r="D564" s="12">
        <v>157.8</v>
      </c>
      <c r="E564" s="11">
        <v>0.0233463035019456</v>
      </c>
    </row>
    <row r="565" spans="1:5">
      <c r="A565" s="13">
        <v>44409</v>
      </c>
      <c r="B565" t="s">
        <v>221</v>
      </c>
      <c r="C565" t="s">
        <v>216</v>
      </c>
      <c r="D565" s="12">
        <v>142.6</v>
      </c>
      <c r="E565" s="11">
        <v>0.0408759124087589</v>
      </c>
    </row>
    <row r="566" spans="1:5">
      <c r="A566" s="13">
        <v>44409</v>
      </c>
      <c r="B566" t="s">
        <v>221</v>
      </c>
      <c r="C566" t="s">
        <v>214</v>
      </c>
      <c r="D566" s="12">
        <v>154.7</v>
      </c>
      <c r="E566" s="11">
        <v>0.0258620689655171</v>
      </c>
    </row>
    <row r="567" spans="1:5">
      <c r="A567" s="13">
        <v>44409</v>
      </c>
      <c r="B567" t="s">
        <v>221</v>
      </c>
      <c r="C567" t="s">
        <v>219</v>
      </c>
      <c r="D567" s="12">
        <v>182.1</v>
      </c>
      <c r="E567" s="11">
        <v>0.0686619718309857</v>
      </c>
    </row>
    <row r="568" spans="1:5">
      <c r="A568" s="13">
        <v>44409</v>
      </c>
      <c r="B568" t="s">
        <v>221</v>
      </c>
      <c r="C568" t="s">
        <v>220</v>
      </c>
      <c r="D568" s="12">
        <v>148.3</v>
      </c>
      <c r="E568" s="11">
        <v>0.0421644413211526</v>
      </c>
    </row>
    <row r="569" spans="1:5">
      <c r="A569" s="13">
        <v>44409</v>
      </c>
      <c r="B569" t="s">
        <v>221</v>
      </c>
      <c r="C569" t="s">
        <v>218</v>
      </c>
      <c r="D569" s="12">
        <v>158.5</v>
      </c>
      <c r="E569" s="11">
        <v>0.0044359949302914</v>
      </c>
    </row>
    <row r="570" spans="1:5">
      <c r="A570" s="13">
        <v>44409</v>
      </c>
      <c r="B570" t="s">
        <v>221</v>
      </c>
      <c r="C570" t="s">
        <v>217</v>
      </c>
      <c r="D570" s="12">
        <v>147</v>
      </c>
      <c r="E570" s="11">
        <v>-0.0245520902455208</v>
      </c>
    </row>
    <row r="571" spans="1:5">
      <c r="A571" s="13">
        <v>44409</v>
      </c>
      <c r="B571" t="s">
        <v>213</v>
      </c>
      <c r="C571" t="s">
        <v>216</v>
      </c>
      <c r="D571" s="12">
        <v>144.1</v>
      </c>
      <c r="E571" s="11">
        <v>0.0396825396825397</v>
      </c>
    </row>
    <row r="572" spans="1:5">
      <c r="A572" s="13">
        <v>44409</v>
      </c>
      <c r="B572" t="s">
        <v>213</v>
      </c>
      <c r="C572" t="s">
        <v>219</v>
      </c>
      <c r="D572" s="12">
        <v>183.2</v>
      </c>
      <c r="E572" s="11">
        <v>0.0675990675990676</v>
      </c>
    </row>
    <row r="573" spans="1:5">
      <c r="A573" s="13">
        <v>44409</v>
      </c>
      <c r="B573" t="s">
        <v>213</v>
      </c>
      <c r="C573" t="s">
        <v>220</v>
      </c>
      <c r="D573" s="12">
        <v>152.7</v>
      </c>
      <c r="E573" s="11">
        <v>0.03385240352065</v>
      </c>
    </row>
    <row r="574" spans="1:5">
      <c r="A574" s="13">
        <v>44409</v>
      </c>
      <c r="B574" t="s">
        <v>213</v>
      </c>
      <c r="C574" t="s">
        <v>218</v>
      </c>
      <c r="D574" s="12">
        <v>164.8</v>
      </c>
      <c r="E574" s="11">
        <v>0.0054911531421599</v>
      </c>
    </row>
    <row r="575" spans="1:5">
      <c r="A575" s="13">
        <v>44409</v>
      </c>
      <c r="B575" t="s">
        <v>213</v>
      </c>
      <c r="C575" t="s">
        <v>217</v>
      </c>
      <c r="D575" s="12">
        <v>148.7</v>
      </c>
      <c r="E575" s="11">
        <v>-0.0312703583061889</v>
      </c>
    </row>
    <row r="576" spans="1:5">
      <c r="A576" s="13">
        <v>44409</v>
      </c>
      <c r="B576" t="s">
        <v>215</v>
      </c>
      <c r="C576" t="s">
        <v>216</v>
      </c>
      <c r="D576" s="12">
        <v>145</v>
      </c>
      <c r="E576" s="11">
        <v>0.0327635327635327</v>
      </c>
    </row>
    <row r="577" spans="1:5">
      <c r="A577" s="13">
        <v>44440</v>
      </c>
      <c r="B577" t="s">
        <v>221</v>
      </c>
      <c r="C577" t="s">
        <v>216</v>
      </c>
      <c r="D577" s="12">
        <v>142.9</v>
      </c>
      <c r="E577" s="11">
        <v>0.0438276113951789</v>
      </c>
    </row>
    <row r="578" spans="1:5">
      <c r="A578" s="13">
        <v>44440</v>
      </c>
      <c r="B578" t="s">
        <v>221</v>
      </c>
      <c r="C578" t="s">
        <v>217</v>
      </c>
      <c r="D578" s="12">
        <v>144.3</v>
      </c>
      <c r="E578" s="11">
        <v>-0.0109664153529814</v>
      </c>
    </row>
    <row r="579" spans="1:5">
      <c r="A579" s="13">
        <v>44440</v>
      </c>
      <c r="B579" t="s">
        <v>221</v>
      </c>
      <c r="C579" t="s">
        <v>214</v>
      </c>
      <c r="D579" s="12">
        <v>155.4</v>
      </c>
      <c r="E579" s="11">
        <v>0.0422535211267607</v>
      </c>
    </row>
    <row r="580" spans="1:5">
      <c r="A580" s="13">
        <v>44440</v>
      </c>
      <c r="B580" t="s">
        <v>221</v>
      </c>
      <c r="C580" t="s">
        <v>220</v>
      </c>
      <c r="D580" s="12">
        <v>148</v>
      </c>
      <c r="E580" s="11">
        <v>0.0511363636363635</v>
      </c>
    </row>
    <row r="581" spans="1:5">
      <c r="A581" s="13">
        <v>44440</v>
      </c>
      <c r="B581" t="s">
        <v>221</v>
      </c>
      <c r="C581" t="s">
        <v>219</v>
      </c>
      <c r="D581" s="12">
        <v>184.8</v>
      </c>
      <c r="E581" s="11">
        <v>0.09478672985782</v>
      </c>
    </row>
    <row r="582" spans="1:5">
      <c r="A582" s="13">
        <v>44440</v>
      </c>
      <c r="B582" t="s">
        <v>213</v>
      </c>
      <c r="C582" t="s">
        <v>216</v>
      </c>
      <c r="D582" s="12">
        <v>144.4</v>
      </c>
      <c r="E582" s="11">
        <v>0.0441070137382502</v>
      </c>
    </row>
    <row r="583" spans="1:5">
      <c r="A583" s="13">
        <v>44440</v>
      </c>
      <c r="B583" t="s">
        <v>213</v>
      </c>
      <c r="C583" t="s">
        <v>214</v>
      </c>
      <c r="D583" s="12">
        <v>158.2</v>
      </c>
      <c r="E583" s="11">
        <v>0.0401051939513477</v>
      </c>
    </row>
    <row r="584" spans="1:5">
      <c r="A584" s="13">
        <v>44440</v>
      </c>
      <c r="B584" t="s">
        <v>213</v>
      </c>
      <c r="C584" t="s">
        <v>219</v>
      </c>
      <c r="D584" s="12">
        <v>183.9</v>
      </c>
      <c r="E584" s="11">
        <v>0.08176470588235291</v>
      </c>
    </row>
    <row r="585" spans="1:5">
      <c r="A585" s="13">
        <v>44440</v>
      </c>
      <c r="B585" t="s">
        <v>213</v>
      </c>
      <c r="C585" t="s">
        <v>220</v>
      </c>
      <c r="D585" s="12">
        <v>152.4</v>
      </c>
      <c r="E585" s="11">
        <v>0.0568654646324551</v>
      </c>
    </row>
    <row r="586" spans="1:5">
      <c r="A586" s="13">
        <v>44440</v>
      </c>
      <c r="B586" t="s">
        <v>213</v>
      </c>
      <c r="C586" t="s">
        <v>218</v>
      </c>
      <c r="D586" s="12">
        <v>164.9</v>
      </c>
      <c r="E586" s="11">
        <v>0.022952853598015</v>
      </c>
    </row>
    <row r="587" spans="1:5">
      <c r="A587" s="13">
        <v>44440</v>
      </c>
      <c r="B587" t="s">
        <v>213</v>
      </c>
      <c r="C587" t="s">
        <v>217</v>
      </c>
      <c r="D587" s="12">
        <v>145.9</v>
      </c>
      <c r="E587" s="11">
        <v>-0.0168463611859838</v>
      </c>
    </row>
    <row r="588" spans="1:5">
      <c r="A588" s="13">
        <v>44440</v>
      </c>
      <c r="B588" t="s">
        <v>215</v>
      </c>
      <c r="C588" t="s">
        <v>216</v>
      </c>
      <c r="D588" s="12">
        <v>145.3</v>
      </c>
      <c r="E588" s="11">
        <v>0.037857142857143</v>
      </c>
    </row>
    <row r="589" spans="1:5">
      <c r="A589" s="13">
        <v>44440</v>
      </c>
      <c r="B589" t="s">
        <v>221</v>
      </c>
      <c r="C589" t="s">
        <v>218</v>
      </c>
      <c r="D589" s="12">
        <v>158.1</v>
      </c>
      <c r="E589" s="11">
        <v>0.0193423597678916</v>
      </c>
    </row>
    <row r="590" spans="1:5">
      <c r="A590" s="13">
        <v>44470</v>
      </c>
      <c r="B590" t="s">
        <v>215</v>
      </c>
      <c r="C590" t="s">
        <v>216</v>
      </c>
      <c r="D590" s="12">
        <v>146.5</v>
      </c>
      <c r="E590" s="11">
        <v>0.0404829545454543</v>
      </c>
    </row>
    <row r="591" spans="1:5">
      <c r="A591" s="13">
        <v>44470</v>
      </c>
      <c r="B591" t="s">
        <v>213</v>
      </c>
      <c r="C591" t="s">
        <v>217</v>
      </c>
      <c r="D591" s="12">
        <v>145.5</v>
      </c>
      <c r="E591" s="11">
        <v>-0.0261044176706827</v>
      </c>
    </row>
    <row r="592" spans="1:5">
      <c r="A592" s="13">
        <v>44470</v>
      </c>
      <c r="B592" t="s">
        <v>213</v>
      </c>
      <c r="C592" t="s">
        <v>218</v>
      </c>
      <c r="D592" s="12">
        <v>166.8</v>
      </c>
      <c r="E592" s="11">
        <v>0.018937080024435</v>
      </c>
    </row>
    <row r="593" spans="1:5">
      <c r="A593" s="13">
        <v>44470</v>
      </c>
      <c r="B593" t="s">
        <v>213</v>
      </c>
      <c r="C593" t="s">
        <v>216</v>
      </c>
      <c r="D593" s="12">
        <v>145.7</v>
      </c>
      <c r="E593" s="11">
        <v>0.0489560835133187</v>
      </c>
    </row>
    <row r="594" spans="1:5">
      <c r="A594" s="13">
        <v>44470</v>
      </c>
      <c r="B594" t="s">
        <v>221</v>
      </c>
      <c r="C594" t="s">
        <v>217</v>
      </c>
      <c r="D594" s="12">
        <v>144.5</v>
      </c>
      <c r="E594" s="11">
        <v>-0.0256237356709373</v>
      </c>
    </row>
    <row r="595" spans="1:5">
      <c r="A595" s="13">
        <v>44470</v>
      </c>
      <c r="B595" t="s">
        <v>221</v>
      </c>
      <c r="C595" t="s">
        <v>216</v>
      </c>
      <c r="D595" s="12">
        <v>143.9</v>
      </c>
      <c r="E595" s="11">
        <v>0.0465454545454546</v>
      </c>
    </row>
    <row r="596" spans="1:5">
      <c r="A596" s="13">
        <v>44470</v>
      </c>
      <c r="B596" t="s">
        <v>221</v>
      </c>
      <c r="C596" t="s">
        <v>220</v>
      </c>
      <c r="D596" s="12">
        <v>146.6</v>
      </c>
      <c r="E596" s="11">
        <v>0.0434163701067615</v>
      </c>
    </row>
    <row r="597" spans="1:5">
      <c r="A597" s="13">
        <v>44470</v>
      </c>
      <c r="B597" t="s">
        <v>221</v>
      </c>
      <c r="C597" t="s">
        <v>219</v>
      </c>
      <c r="D597" s="12">
        <v>187.1</v>
      </c>
      <c r="E597" s="11">
        <v>0.099294947121034</v>
      </c>
    </row>
    <row r="598" spans="1:5">
      <c r="A598" s="13">
        <v>44470</v>
      </c>
      <c r="B598" t="s">
        <v>221</v>
      </c>
      <c r="C598" t="s">
        <v>214</v>
      </c>
      <c r="D598" s="12">
        <v>155.8</v>
      </c>
      <c r="E598" s="11">
        <v>0.039359573048699</v>
      </c>
    </row>
    <row r="599" spans="1:5">
      <c r="A599" s="13">
        <v>44470</v>
      </c>
      <c r="B599" t="s">
        <v>213</v>
      </c>
      <c r="C599" t="s">
        <v>220</v>
      </c>
      <c r="D599" s="12">
        <v>150.3</v>
      </c>
      <c r="E599" s="11">
        <v>0.0365517241379311</v>
      </c>
    </row>
    <row r="600" spans="1:5">
      <c r="A600" s="13">
        <v>44470</v>
      </c>
      <c r="B600" t="s">
        <v>221</v>
      </c>
      <c r="C600" t="s">
        <v>218</v>
      </c>
      <c r="D600" s="12">
        <v>159.3</v>
      </c>
      <c r="E600" s="11">
        <v>0.0172413793103449</v>
      </c>
    </row>
    <row r="601" spans="1:5">
      <c r="A601" s="13">
        <v>44470</v>
      </c>
      <c r="B601" t="s">
        <v>213</v>
      </c>
      <c r="C601" t="s">
        <v>214</v>
      </c>
      <c r="D601" s="12">
        <v>158.2</v>
      </c>
      <c r="E601" s="11">
        <v>0.0373770491803278</v>
      </c>
    </row>
    <row r="602" spans="1:5">
      <c r="A602" s="13">
        <v>44470</v>
      </c>
      <c r="B602" t="s">
        <v>213</v>
      </c>
      <c r="C602" t="s">
        <v>219</v>
      </c>
      <c r="D602" s="12">
        <v>183.8</v>
      </c>
      <c r="E602" s="11">
        <v>0.088217880402605</v>
      </c>
    </row>
    <row r="603" spans="1:5">
      <c r="A603" s="13">
        <v>44501</v>
      </c>
      <c r="B603" t="s">
        <v>221</v>
      </c>
      <c r="C603" t="s">
        <v>220</v>
      </c>
      <c r="D603" s="12">
        <v>146.7</v>
      </c>
      <c r="E603" s="11">
        <v>0.0360169491525423</v>
      </c>
    </row>
    <row r="604" spans="1:5">
      <c r="A604" s="13">
        <v>44501</v>
      </c>
      <c r="B604" t="s">
        <v>221</v>
      </c>
      <c r="C604" t="s">
        <v>218</v>
      </c>
      <c r="D604" s="12">
        <v>161.6</v>
      </c>
      <c r="E604" s="11">
        <v>0.0412371134020619</v>
      </c>
    </row>
    <row r="605" spans="1:5">
      <c r="A605" s="13">
        <v>44501</v>
      </c>
      <c r="B605" t="s">
        <v>215</v>
      </c>
      <c r="C605" t="s">
        <v>216</v>
      </c>
      <c r="D605" s="12">
        <v>146.8</v>
      </c>
      <c r="E605" s="11">
        <v>0.0433546552949539</v>
      </c>
    </row>
    <row r="606" spans="1:5">
      <c r="A606" s="13">
        <v>44501</v>
      </c>
      <c r="B606" t="s">
        <v>213</v>
      </c>
      <c r="C606" t="s">
        <v>217</v>
      </c>
      <c r="D606" s="12">
        <v>153.6</v>
      </c>
      <c r="E606" s="11">
        <v>0.032258064516129</v>
      </c>
    </row>
    <row r="607" spans="1:5">
      <c r="A607" s="13">
        <v>44501</v>
      </c>
      <c r="B607" t="s">
        <v>213</v>
      </c>
      <c r="C607" t="s">
        <v>218</v>
      </c>
      <c r="D607" s="12">
        <v>169.6</v>
      </c>
      <c r="E607" s="11">
        <v>0.05276225946617</v>
      </c>
    </row>
    <row r="608" spans="1:5">
      <c r="A608" s="13">
        <v>44501</v>
      </c>
      <c r="B608" t="s">
        <v>213</v>
      </c>
      <c r="C608" t="s">
        <v>220</v>
      </c>
      <c r="D608" s="12">
        <v>152</v>
      </c>
      <c r="E608" s="11">
        <v>0.0497237569060773</v>
      </c>
    </row>
    <row r="609" spans="1:5">
      <c r="A609" s="13">
        <v>44501</v>
      </c>
      <c r="B609" t="s">
        <v>221</v>
      </c>
      <c r="C609" t="s">
        <v>219</v>
      </c>
      <c r="D609" s="12">
        <v>186.3</v>
      </c>
      <c r="E609" s="11">
        <v>0.09011117612638971</v>
      </c>
    </row>
    <row r="610" spans="1:5">
      <c r="A610" s="13">
        <v>44501</v>
      </c>
      <c r="B610" t="s">
        <v>213</v>
      </c>
      <c r="C610" t="s">
        <v>214</v>
      </c>
      <c r="D610" s="12">
        <v>160.9</v>
      </c>
      <c r="E610" s="11">
        <v>0.0523217789404839</v>
      </c>
    </row>
    <row r="611" spans="1:5">
      <c r="A611" s="13">
        <v>44501</v>
      </c>
      <c r="B611" t="s">
        <v>213</v>
      </c>
      <c r="C611" t="s">
        <v>216</v>
      </c>
      <c r="D611" s="12">
        <v>146</v>
      </c>
      <c r="E611" s="11">
        <v>0.0503597122302157</v>
      </c>
    </row>
    <row r="612" spans="1:5">
      <c r="A612" s="13">
        <v>44501</v>
      </c>
      <c r="B612" t="s">
        <v>221</v>
      </c>
      <c r="C612" t="s">
        <v>216</v>
      </c>
      <c r="D612" s="12">
        <v>144.2</v>
      </c>
      <c r="E612" s="11">
        <v>0.04720406681191</v>
      </c>
    </row>
    <row r="613" spans="1:5">
      <c r="A613" s="13">
        <v>44501</v>
      </c>
      <c r="B613" t="s">
        <v>221</v>
      </c>
      <c r="C613" t="s">
        <v>214</v>
      </c>
      <c r="D613" s="12">
        <v>157.7</v>
      </c>
      <c r="E613" s="11">
        <v>0.047144754316069</v>
      </c>
    </row>
    <row r="614" spans="1:5">
      <c r="A614" s="13">
        <v>44501</v>
      </c>
      <c r="B614" t="s">
        <v>213</v>
      </c>
      <c r="C614" t="s">
        <v>219</v>
      </c>
      <c r="D614" s="12">
        <v>184.6</v>
      </c>
      <c r="E614" s="11">
        <v>0.07953216374269</v>
      </c>
    </row>
    <row r="615" spans="1:5">
      <c r="A615" s="13">
        <v>44501</v>
      </c>
      <c r="B615" t="s">
        <v>221</v>
      </c>
      <c r="C615" t="s">
        <v>217</v>
      </c>
      <c r="D615" s="12">
        <v>153</v>
      </c>
      <c r="E615" s="11">
        <v>0.02</v>
      </c>
    </row>
    <row r="616" spans="1:5">
      <c r="A616" s="13">
        <v>44531</v>
      </c>
      <c r="B616" t="s">
        <v>215</v>
      </c>
      <c r="C616" t="s">
        <v>216</v>
      </c>
      <c r="D616" s="12">
        <v>147.1</v>
      </c>
      <c r="E616" s="11">
        <v>0.0469750889679714</v>
      </c>
    </row>
    <row r="617" spans="1:5">
      <c r="A617" s="13">
        <v>44531</v>
      </c>
      <c r="B617" t="s">
        <v>213</v>
      </c>
      <c r="C617" t="s">
        <v>217</v>
      </c>
      <c r="D617" s="12">
        <v>159.1</v>
      </c>
      <c r="E617" s="11">
        <v>0.0543406229290921</v>
      </c>
    </row>
    <row r="618" spans="1:5">
      <c r="A618" s="13">
        <v>44531</v>
      </c>
      <c r="B618" t="s">
        <v>213</v>
      </c>
      <c r="C618" t="s">
        <v>218</v>
      </c>
      <c r="D618" s="12">
        <v>172</v>
      </c>
      <c r="E618" s="11">
        <v>0.0565110565110564</v>
      </c>
    </row>
    <row r="619" spans="1:5">
      <c r="A619" s="13">
        <v>44531</v>
      </c>
      <c r="B619" t="s">
        <v>213</v>
      </c>
      <c r="C619" t="s">
        <v>219</v>
      </c>
      <c r="D619" s="12">
        <v>185.5</v>
      </c>
      <c r="E619" s="11">
        <v>0.0841613091759205</v>
      </c>
    </row>
    <row r="620" spans="1:5">
      <c r="A620" s="13">
        <v>44531</v>
      </c>
      <c r="B620" t="s">
        <v>213</v>
      </c>
      <c r="C620" t="s">
        <v>214</v>
      </c>
      <c r="D620" s="12">
        <v>162.3</v>
      </c>
      <c r="E620" s="11">
        <v>0.0593994778067885</v>
      </c>
    </row>
    <row r="621" spans="1:5">
      <c r="A621" s="13">
        <v>44531</v>
      </c>
      <c r="B621" t="s">
        <v>213</v>
      </c>
      <c r="C621" t="s">
        <v>220</v>
      </c>
      <c r="D621" s="12">
        <v>150</v>
      </c>
      <c r="E621" s="11">
        <v>0.0302197802197803</v>
      </c>
    </row>
    <row r="622" spans="1:5">
      <c r="A622" s="13">
        <v>44531</v>
      </c>
      <c r="B622" t="s">
        <v>221</v>
      </c>
      <c r="C622" t="s">
        <v>217</v>
      </c>
      <c r="D622" s="12">
        <v>156.9</v>
      </c>
      <c r="E622" s="11">
        <v>0.043218085106383</v>
      </c>
    </row>
    <row r="623" spans="1:5">
      <c r="A623" s="13">
        <v>44531</v>
      </c>
      <c r="B623" t="s">
        <v>221</v>
      </c>
      <c r="C623" t="s">
        <v>218</v>
      </c>
      <c r="D623" s="12">
        <v>164.1</v>
      </c>
      <c r="E623" s="11">
        <v>0.0492327365728899</v>
      </c>
    </row>
    <row r="624" spans="1:5">
      <c r="A624" s="13">
        <v>44531</v>
      </c>
      <c r="B624" t="s">
        <v>221</v>
      </c>
      <c r="C624" t="s">
        <v>220</v>
      </c>
      <c r="D624" s="12">
        <v>145.9</v>
      </c>
      <c r="E624" s="11">
        <v>0.031095406360424</v>
      </c>
    </row>
    <row r="625" spans="1:5">
      <c r="A625" s="13">
        <v>44531</v>
      </c>
      <c r="B625" t="s">
        <v>221</v>
      </c>
      <c r="C625" t="s">
        <v>219</v>
      </c>
      <c r="D625" s="12">
        <v>185.3</v>
      </c>
      <c r="E625" s="11">
        <v>0.09</v>
      </c>
    </row>
    <row r="626" spans="1:5">
      <c r="A626" s="13">
        <v>44531</v>
      </c>
      <c r="B626" t="s">
        <v>221</v>
      </c>
      <c r="C626" t="s">
        <v>214</v>
      </c>
      <c r="D626" s="12">
        <v>158.8</v>
      </c>
      <c r="E626" s="11">
        <v>0.0572569906790947</v>
      </c>
    </row>
    <row r="627" spans="1:5">
      <c r="A627" s="13">
        <v>44531</v>
      </c>
      <c r="B627" t="s">
        <v>221</v>
      </c>
      <c r="C627" t="s">
        <v>216</v>
      </c>
      <c r="D627" s="12">
        <v>144</v>
      </c>
      <c r="E627" s="11">
        <v>0.0480349344978165</v>
      </c>
    </row>
    <row r="628" spans="1:5">
      <c r="A628" s="13">
        <v>44531</v>
      </c>
      <c r="B628" t="s">
        <v>213</v>
      </c>
      <c r="C628" t="s">
        <v>216</v>
      </c>
      <c r="D628" s="12">
        <v>146</v>
      </c>
      <c r="E628" s="11">
        <v>0.0518731988472622</v>
      </c>
    </row>
    <row r="629" spans="1:5">
      <c r="A629" s="13">
        <v>44562</v>
      </c>
      <c r="B629" t="s">
        <v>215</v>
      </c>
      <c r="C629" t="s">
        <v>216</v>
      </c>
      <c r="D629" s="12">
        <v>148.3</v>
      </c>
      <c r="E629" s="11">
        <v>0.05177304964539</v>
      </c>
    </row>
    <row r="630" spans="1:5">
      <c r="A630" s="13">
        <v>44562</v>
      </c>
      <c r="B630" t="s">
        <v>213</v>
      </c>
      <c r="C630" t="s">
        <v>217</v>
      </c>
      <c r="D630" s="12">
        <v>164.5</v>
      </c>
      <c r="E630" s="11">
        <v>0.0484384958572339</v>
      </c>
    </row>
    <row r="631" spans="1:5">
      <c r="A631" s="13">
        <v>44562</v>
      </c>
      <c r="B631" t="s">
        <v>213</v>
      </c>
      <c r="C631" t="s">
        <v>218</v>
      </c>
      <c r="D631" s="12">
        <v>172.4</v>
      </c>
      <c r="E631" s="11">
        <v>0.0714729645742697</v>
      </c>
    </row>
    <row r="632" spans="1:5">
      <c r="A632" s="13">
        <v>44562</v>
      </c>
      <c r="B632" t="s">
        <v>213</v>
      </c>
      <c r="C632" t="s">
        <v>220</v>
      </c>
      <c r="D632" s="12">
        <v>153.4</v>
      </c>
      <c r="E632" s="11">
        <v>0.0542955326460481</v>
      </c>
    </row>
    <row r="633" spans="1:5">
      <c r="A633" s="13">
        <v>44562</v>
      </c>
      <c r="B633" t="s">
        <v>213</v>
      </c>
      <c r="C633" t="s">
        <v>219</v>
      </c>
      <c r="D633" s="12">
        <v>187.9</v>
      </c>
      <c r="E633" s="11">
        <v>0.0956268221574343</v>
      </c>
    </row>
    <row r="634" spans="1:5">
      <c r="A634" s="13">
        <v>44562</v>
      </c>
      <c r="B634" t="s">
        <v>213</v>
      </c>
      <c r="C634" t="s">
        <v>216</v>
      </c>
      <c r="D634" s="12">
        <v>147.4</v>
      </c>
      <c r="E634" s="11">
        <v>0.0566308243727597</v>
      </c>
    </row>
    <row r="635" spans="1:5">
      <c r="A635" s="13">
        <v>44562</v>
      </c>
      <c r="B635" t="s">
        <v>221</v>
      </c>
      <c r="C635" t="s">
        <v>217</v>
      </c>
      <c r="D635" s="12">
        <v>161.1</v>
      </c>
      <c r="E635" s="11">
        <v>0.0440699935191184</v>
      </c>
    </row>
    <row r="636" spans="1:5">
      <c r="A636" s="13">
        <v>44562</v>
      </c>
      <c r="B636" t="s">
        <v>221</v>
      </c>
      <c r="C636" t="s">
        <v>218</v>
      </c>
      <c r="D636" s="12">
        <v>164.9</v>
      </c>
      <c r="E636" s="11">
        <v>0.06939040207522711</v>
      </c>
    </row>
    <row r="637" spans="1:5">
      <c r="A637" s="13">
        <v>44562</v>
      </c>
      <c r="B637" t="s">
        <v>221</v>
      </c>
      <c r="C637" t="s">
        <v>220</v>
      </c>
      <c r="D637" s="12">
        <v>148</v>
      </c>
      <c r="E637" s="11">
        <v>0.0451977401129943</v>
      </c>
    </row>
    <row r="638" spans="1:5">
      <c r="A638" s="13">
        <v>44562</v>
      </c>
      <c r="B638" t="s">
        <v>221</v>
      </c>
      <c r="C638" t="s">
        <v>219</v>
      </c>
      <c r="D638" s="12">
        <v>189.3</v>
      </c>
      <c r="E638" s="11">
        <v>0.1012216404886561</v>
      </c>
    </row>
    <row r="639" spans="1:5">
      <c r="A639" s="13">
        <v>44562</v>
      </c>
      <c r="B639" t="s">
        <v>221</v>
      </c>
      <c r="C639" t="s">
        <v>214</v>
      </c>
      <c r="D639" s="12">
        <v>161.5</v>
      </c>
      <c r="E639" s="11">
        <v>0.0646011865524061</v>
      </c>
    </row>
    <row r="640" spans="1:5">
      <c r="A640" s="13">
        <v>44562</v>
      </c>
      <c r="B640" t="s">
        <v>213</v>
      </c>
      <c r="C640" t="s">
        <v>214</v>
      </c>
      <c r="D640" s="12">
        <v>165.5</v>
      </c>
      <c r="E640" s="11">
        <v>0.0670535138620245</v>
      </c>
    </row>
    <row r="641" spans="1:5">
      <c r="A641" s="13">
        <v>44562</v>
      </c>
      <c r="B641" t="s">
        <v>221</v>
      </c>
      <c r="C641" t="s">
        <v>216</v>
      </c>
      <c r="D641" s="12">
        <v>145.3</v>
      </c>
      <c r="E641" s="11">
        <v>0.0513748191027498</v>
      </c>
    </row>
    <row r="642" spans="1:5">
      <c r="A642" s="13">
        <v>44593</v>
      </c>
      <c r="B642" t="s">
        <v>221</v>
      </c>
      <c r="C642" t="s">
        <v>216</v>
      </c>
      <c r="D642" s="12">
        <v>146.8</v>
      </c>
      <c r="E642" s="11">
        <v>0.0568754499640029</v>
      </c>
    </row>
    <row r="643" spans="1:5">
      <c r="A643" s="13">
        <v>44593</v>
      </c>
      <c r="B643" t="s">
        <v>221</v>
      </c>
      <c r="C643" t="s">
        <v>214</v>
      </c>
      <c r="D643" s="12">
        <v>163.9</v>
      </c>
      <c r="E643" s="11">
        <v>0.07404980340760151</v>
      </c>
    </row>
    <row r="644" spans="1:5">
      <c r="A644" s="13">
        <v>44593</v>
      </c>
      <c r="B644" t="s">
        <v>221</v>
      </c>
      <c r="C644" t="s">
        <v>219</v>
      </c>
      <c r="D644" s="12">
        <v>189.3</v>
      </c>
      <c r="E644" s="11">
        <v>0.1168141592920355</v>
      </c>
    </row>
    <row r="645" spans="1:5">
      <c r="A645" s="13">
        <v>44593</v>
      </c>
      <c r="B645" t="s">
        <v>221</v>
      </c>
      <c r="C645" t="s">
        <v>218</v>
      </c>
      <c r="D645" s="12">
        <v>167.6</v>
      </c>
      <c r="E645" s="11">
        <v>0.0668364099299809</v>
      </c>
    </row>
    <row r="646" spans="1:5">
      <c r="A646" s="13">
        <v>44593</v>
      </c>
      <c r="B646" t="s">
        <v>221</v>
      </c>
      <c r="C646" t="s">
        <v>217</v>
      </c>
      <c r="D646" s="12">
        <v>162.4</v>
      </c>
      <c r="E646" s="11">
        <v>0.0376996805111822</v>
      </c>
    </row>
    <row r="647" spans="1:5">
      <c r="A647" s="13">
        <v>44593</v>
      </c>
      <c r="B647" t="s">
        <v>213</v>
      </c>
      <c r="C647" t="s">
        <v>216</v>
      </c>
      <c r="D647" s="12">
        <v>148.8</v>
      </c>
      <c r="E647" s="11">
        <v>0.0613409415121257</v>
      </c>
    </row>
    <row r="648" spans="1:5">
      <c r="A648" s="13">
        <v>44593</v>
      </c>
      <c r="B648" t="s">
        <v>213</v>
      </c>
      <c r="C648" t="s">
        <v>214</v>
      </c>
      <c r="D648" s="12">
        <v>167.9</v>
      </c>
      <c r="E648" s="11">
        <v>0.0832258064516129</v>
      </c>
    </row>
    <row r="649" spans="1:5">
      <c r="A649" s="13">
        <v>44593</v>
      </c>
      <c r="B649" t="s">
        <v>213</v>
      </c>
      <c r="C649" t="s">
        <v>219</v>
      </c>
      <c r="D649" s="12">
        <v>189.8</v>
      </c>
      <c r="E649" s="11">
        <v>0.1297619047619047</v>
      </c>
    </row>
    <row r="650" spans="1:5">
      <c r="A650" s="13">
        <v>44593</v>
      </c>
      <c r="B650" t="s">
        <v>213</v>
      </c>
      <c r="C650" t="s">
        <v>220</v>
      </c>
      <c r="D650" s="12">
        <v>157.7</v>
      </c>
      <c r="E650" s="11">
        <v>0.0793976728268308</v>
      </c>
    </row>
    <row r="651" spans="1:5">
      <c r="A651" s="13">
        <v>44593</v>
      </c>
      <c r="B651" t="s">
        <v>213</v>
      </c>
      <c r="C651" t="s">
        <v>218</v>
      </c>
      <c r="D651" s="12">
        <v>175.5</v>
      </c>
      <c r="E651" s="11">
        <v>0.078009828009828</v>
      </c>
    </row>
    <row r="652" spans="1:5">
      <c r="A652" s="13">
        <v>44593</v>
      </c>
      <c r="B652" t="s">
        <v>213</v>
      </c>
      <c r="C652" t="s">
        <v>217</v>
      </c>
      <c r="D652" s="12">
        <v>165</v>
      </c>
      <c r="E652" s="11">
        <v>0.0410094637223974</v>
      </c>
    </row>
    <row r="653" spans="1:5">
      <c r="A653" s="13">
        <v>44593</v>
      </c>
      <c r="B653" t="s">
        <v>215</v>
      </c>
      <c r="C653" t="s">
        <v>216</v>
      </c>
      <c r="D653" s="12">
        <v>149.8</v>
      </c>
      <c r="E653" s="11">
        <v>0.0571630204657729</v>
      </c>
    </row>
    <row r="654" spans="1:5">
      <c r="A654" s="13">
        <v>44593</v>
      </c>
      <c r="B654" t="s">
        <v>221</v>
      </c>
      <c r="C654" t="s">
        <v>220</v>
      </c>
      <c r="D654" s="12">
        <v>153</v>
      </c>
      <c r="E654" s="11">
        <v>0.0691823899371069</v>
      </c>
    </row>
    <row r="655" spans="1:5">
      <c r="A655" s="13">
        <v>44621</v>
      </c>
      <c r="B655" t="s">
        <v>215</v>
      </c>
      <c r="C655" t="s">
        <v>216</v>
      </c>
      <c r="D655" s="12">
        <v>151.7</v>
      </c>
      <c r="E655" s="11">
        <v>0.06456140350877181</v>
      </c>
    </row>
    <row r="656" spans="1:5">
      <c r="A656" s="13">
        <v>44621</v>
      </c>
      <c r="B656" t="s">
        <v>213</v>
      </c>
      <c r="C656" t="s">
        <v>217</v>
      </c>
      <c r="D656" s="12">
        <v>162.6</v>
      </c>
      <c r="E656" s="11">
        <v>0.0620509470934029</v>
      </c>
    </row>
    <row r="657" spans="1:5">
      <c r="A657" s="13">
        <v>44621</v>
      </c>
      <c r="B657" t="s">
        <v>213</v>
      </c>
      <c r="C657" t="s">
        <v>218</v>
      </c>
      <c r="D657" s="12">
        <v>180.6</v>
      </c>
      <c r="E657" s="11">
        <v>0.1086556169429096</v>
      </c>
    </row>
    <row r="658" spans="1:5">
      <c r="A658" s="13">
        <v>44621</v>
      </c>
      <c r="B658" t="s">
        <v>213</v>
      </c>
      <c r="C658" t="s">
        <v>220</v>
      </c>
      <c r="D658" s="12">
        <v>165.8</v>
      </c>
      <c r="E658" s="11">
        <v>0.1195138419986496</v>
      </c>
    </row>
    <row r="659" spans="1:5">
      <c r="A659" s="13">
        <v>44621</v>
      </c>
      <c r="B659" t="s">
        <v>213</v>
      </c>
      <c r="C659" t="s">
        <v>219</v>
      </c>
      <c r="D659" s="12">
        <v>189.4</v>
      </c>
      <c r="E659" s="11">
        <v>0.1056625802685347</v>
      </c>
    </row>
    <row r="660" spans="1:5">
      <c r="A660" s="13">
        <v>44621</v>
      </c>
      <c r="B660" t="s">
        <v>213</v>
      </c>
      <c r="C660" t="s">
        <v>214</v>
      </c>
      <c r="D660" s="12">
        <v>169.9</v>
      </c>
      <c r="E660" s="11">
        <v>0.0912010276172126</v>
      </c>
    </row>
    <row r="661" spans="1:5">
      <c r="A661" s="13">
        <v>44621</v>
      </c>
      <c r="B661" t="s">
        <v>221</v>
      </c>
      <c r="C661" t="s">
        <v>217</v>
      </c>
      <c r="D661" s="12">
        <v>160.7</v>
      </c>
      <c r="E661" s="11">
        <v>0.06564986737400511</v>
      </c>
    </row>
    <row r="662" spans="1:5">
      <c r="A662" s="13">
        <v>44621</v>
      </c>
      <c r="B662" t="s">
        <v>221</v>
      </c>
      <c r="C662" t="s">
        <v>218</v>
      </c>
      <c r="D662" s="12">
        <v>172.2</v>
      </c>
      <c r="E662" s="11">
        <v>0.0982142857142855</v>
      </c>
    </row>
    <row r="663" spans="1:5">
      <c r="A663" s="13">
        <v>44621</v>
      </c>
      <c r="B663" t="s">
        <v>221</v>
      </c>
      <c r="C663" t="s">
        <v>220</v>
      </c>
      <c r="D663" s="12">
        <v>157.2</v>
      </c>
      <c r="E663" s="11">
        <v>0.08488612836438909</v>
      </c>
    </row>
    <row r="664" spans="1:5">
      <c r="A664" s="13">
        <v>44621</v>
      </c>
      <c r="B664" t="s">
        <v>221</v>
      </c>
      <c r="C664" t="s">
        <v>219</v>
      </c>
      <c r="D664" s="12">
        <v>188</v>
      </c>
      <c r="E664" s="11">
        <v>0.1045828437132785</v>
      </c>
    </row>
    <row r="665" spans="1:5">
      <c r="A665" s="13">
        <v>44621</v>
      </c>
      <c r="B665" t="s">
        <v>221</v>
      </c>
      <c r="C665" t="s">
        <v>214</v>
      </c>
      <c r="D665" s="12">
        <v>165.7</v>
      </c>
      <c r="E665" s="11">
        <v>0.0865573770491803</v>
      </c>
    </row>
    <row r="666" spans="1:5">
      <c r="A666" s="13">
        <v>44621</v>
      </c>
      <c r="B666" t="s">
        <v>221</v>
      </c>
      <c r="C666" t="s">
        <v>216</v>
      </c>
      <c r="D666" s="12">
        <v>148.9</v>
      </c>
      <c r="E666" s="11">
        <v>0.0666189111747852</v>
      </c>
    </row>
    <row r="667" spans="1:5">
      <c r="A667" s="13">
        <v>44621</v>
      </c>
      <c r="B667" t="s">
        <v>213</v>
      </c>
      <c r="C667" t="s">
        <v>216</v>
      </c>
      <c r="D667" s="12">
        <v>150.8</v>
      </c>
      <c r="E667" s="11">
        <v>0.0695035460992907</v>
      </c>
    </row>
    <row r="668" spans="1:5">
      <c r="A668" s="13">
        <v>44652</v>
      </c>
      <c r="B668" t="s">
        <v>213</v>
      </c>
      <c r="C668" t="s">
        <v>220</v>
      </c>
      <c r="D668" s="12">
        <v>163.6</v>
      </c>
      <c r="E668" s="11">
        <v>0.094314381270903</v>
      </c>
    </row>
    <row r="669" spans="1:5">
      <c r="A669" s="13">
        <v>44652</v>
      </c>
      <c r="B669" t="s">
        <v>215</v>
      </c>
      <c r="C669" t="s">
        <v>216</v>
      </c>
      <c r="D669" s="12">
        <v>152.6</v>
      </c>
      <c r="E669" s="11">
        <v>0.0663871418588399</v>
      </c>
    </row>
    <row r="670" spans="1:5">
      <c r="A670" s="13">
        <v>44652</v>
      </c>
      <c r="B670" t="s">
        <v>213</v>
      </c>
      <c r="C670" t="s">
        <v>217</v>
      </c>
      <c r="D670" s="12">
        <v>160.7</v>
      </c>
      <c r="E670" s="11">
        <v>0.07133333333333319</v>
      </c>
    </row>
    <row r="671" spans="1:5">
      <c r="A671" s="13">
        <v>44652</v>
      </c>
      <c r="B671" t="s">
        <v>213</v>
      </c>
      <c r="C671" t="s">
        <v>218</v>
      </c>
      <c r="D671" s="12">
        <v>181.5</v>
      </c>
      <c r="E671" s="11">
        <v>0.1266294227188082</v>
      </c>
    </row>
    <row r="672" spans="1:5">
      <c r="A672" s="13">
        <v>44652</v>
      </c>
      <c r="B672" t="s">
        <v>213</v>
      </c>
      <c r="C672" t="s">
        <v>219</v>
      </c>
      <c r="D672" s="12">
        <v>191.4</v>
      </c>
      <c r="E672" s="11">
        <v>0.0955924441900402</v>
      </c>
    </row>
    <row r="673" spans="1:5">
      <c r="A673" s="13">
        <v>44652</v>
      </c>
      <c r="B673" t="s">
        <v>221</v>
      </c>
      <c r="C673" t="s">
        <v>220</v>
      </c>
      <c r="D673" s="12">
        <v>157.6</v>
      </c>
      <c r="E673" s="11">
        <v>0.0787132101300478</v>
      </c>
    </row>
    <row r="674" spans="1:5">
      <c r="A674" s="13">
        <v>44652</v>
      </c>
      <c r="B674" t="s">
        <v>213</v>
      </c>
      <c r="C674" t="s">
        <v>216</v>
      </c>
      <c r="D674" s="12">
        <v>151.6</v>
      </c>
      <c r="E674" s="11">
        <v>0.06911142454160769</v>
      </c>
    </row>
    <row r="675" spans="1:5">
      <c r="A675" s="13">
        <v>44652</v>
      </c>
      <c r="B675" t="s">
        <v>213</v>
      </c>
      <c r="C675" t="s">
        <v>214</v>
      </c>
      <c r="D675" s="12">
        <v>170.4</v>
      </c>
      <c r="E675" s="11">
        <v>0.097938144329897</v>
      </c>
    </row>
    <row r="676" spans="1:5">
      <c r="A676" s="13">
        <v>44652</v>
      </c>
      <c r="B676" t="s">
        <v>221</v>
      </c>
      <c r="C676" t="s">
        <v>214</v>
      </c>
      <c r="D676" s="12">
        <v>166.8</v>
      </c>
      <c r="E676" s="11">
        <v>0.09736842105263151</v>
      </c>
    </row>
    <row r="677" spans="1:5">
      <c r="A677" s="13">
        <v>44652</v>
      </c>
      <c r="B677" t="s">
        <v>221</v>
      </c>
      <c r="C677" t="s">
        <v>216</v>
      </c>
      <c r="D677" s="12">
        <v>149.8</v>
      </c>
      <c r="E677" s="11">
        <v>0.0677120456165361</v>
      </c>
    </row>
    <row r="678" spans="1:5">
      <c r="A678" s="13">
        <v>44652</v>
      </c>
      <c r="B678" t="s">
        <v>221</v>
      </c>
      <c r="C678" t="s">
        <v>218</v>
      </c>
      <c r="D678" s="12">
        <v>173.8</v>
      </c>
      <c r="E678" s="11">
        <v>0.1126760563380282</v>
      </c>
    </row>
    <row r="679" spans="1:5">
      <c r="A679" s="13">
        <v>44652</v>
      </c>
      <c r="B679" t="s">
        <v>221</v>
      </c>
      <c r="C679" t="s">
        <v>217</v>
      </c>
      <c r="D679" s="12">
        <v>159.1</v>
      </c>
      <c r="E679" s="11">
        <v>0.0897260273972602</v>
      </c>
    </row>
    <row r="680" spans="1:5">
      <c r="A680" s="13">
        <v>44652</v>
      </c>
      <c r="B680" t="s">
        <v>221</v>
      </c>
      <c r="C680" t="s">
        <v>219</v>
      </c>
      <c r="D680" s="12">
        <v>191.1</v>
      </c>
      <c r="E680" s="11">
        <v>0.1014409221902017</v>
      </c>
    </row>
    <row r="681" spans="1:5">
      <c r="A681" s="13">
        <v>44682</v>
      </c>
      <c r="B681" t="s">
        <v>221</v>
      </c>
      <c r="C681" t="s">
        <v>216</v>
      </c>
      <c r="D681" s="12">
        <v>151.9</v>
      </c>
      <c r="E681" s="11">
        <v>0.07730496453900711</v>
      </c>
    </row>
    <row r="682" spans="1:5">
      <c r="A682" s="13">
        <v>44682</v>
      </c>
      <c r="B682" t="s">
        <v>221</v>
      </c>
      <c r="C682" t="s">
        <v>214</v>
      </c>
      <c r="D682" s="12">
        <v>168.5</v>
      </c>
      <c r="E682" s="11">
        <v>0.0970052083333334</v>
      </c>
    </row>
    <row r="683" spans="1:5">
      <c r="A683" s="13">
        <v>44682</v>
      </c>
      <c r="B683" t="s">
        <v>221</v>
      </c>
      <c r="C683" t="s">
        <v>219</v>
      </c>
      <c r="D683" s="12">
        <v>191.2</v>
      </c>
      <c r="E683" s="11">
        <v>0.09007981755986311</v>
      </c>
    </row>
    <row r="684" spans="1:5">
      <c r="A684" s="13">
        <v>44682</v>
      </c>
      <c r="B684" t="s">
        <v>221</v>
      </c>
      <c r="C684" t="s">
        <v>220</v>
      </c>
      <c r="D684" s="12">
        <v>158.2</v>
      </c>
      <c r="E684" s="11">
        <v>0.07912687585266021</v>
      </c>
    </row>
    <row r="685" spans="1:5">
      <c r="A685" s="13">
        <v>44682</v>
      </c>
      <c r="B685" t="s">
        <v>221</v>
      </c>
      <c r="C685" t="s">
        <v>217</v>
      </c>
      <c r="D685" s="12">
        <v>165</v>
      </c>
      <c r="E685" s="11">
        <v>0.1073825503355705</v>
      </c>
    </row>
    <row r="686" spans="1:5">
      <c r="A686" s="13">
        <v>44682</v>
      </c>
      <c r="B686" t="s">
        <v>213</v>
      </c>
      <c r="C686" t="s">
        <v>216</v>
      </c>
      <c r="D686" s="12">
        <v>153.7</v>
      </c>
      <c r="E686" s="11">
        <v>0.07784011220196339</v>
      </c>
    </row>
    <row r="687" spans="1:5">
      <c r="A687" s="13">
        <v>44682</v>
      </c>
      <c r="B687" t="s">
        <v>213</v>
      </c>
      <c r="C687" t="s">
        <v>214</v>
      </c>
      <c r="D687" s="12">
        <v>172.6</v>
      </c>
      <c r="E687" s="11">
        <v>0.1035805626598465</v>
      </c>
    </row>
    <row r="688" spans="1:5">
      <c r="A688" s="13">
        <v>44682</v>
      </c>
      <c r="B688" t="s">
        <v>213</v>
      </c>
      <c r="C688" t="s">
        <v>219</v>
      </c>
      <c r="D688" s="12">
        <v>193</v>
      </c>
      <c r="E688" s="11">
        <v>0.1028571428571427</v>
      </c>
    </row>
    <row r="689" spans="1:5">
      <c r="A689" s="13">
        <v>44682</v>
      </c>
      <c r="B689" t="s">
        <v>213</v>
      </c>
      <c r="C689" t="s">
        <v>220</v>
      </c>
      <c r="D689" s="12">
        <v>164.8</v>
      </c>
      <c r="E689" s="11">
        <v>0.09501661129568111</v>
      </c>
    </row>
    <row r="690" spans="1:5">
      <c r="A690" s="13">
        <v>44682</v>
      </c>
      <c r="B690" t="s">
        <v>213</v>
      </c>
      <c r="C690" t="s">
        <v>218</v>
      </c>
      <c r="D690" s="12">
        <v>182.3</v>
      </c>
      <c r="E690" s="11">
        <v>0.1048484848484849</v>
      </c>
    </row>
    <row r="691" spans="1:5">
      <c r="A691" s="13">
        <v>44682</v>
      </c>
      <c r="B691" t="s">
        <v>215</v>
      </c>
      <c r="C691" t="s">
        <v>216</v>
      </c>
      <c r="D691" s="12">
        <v>154.4</v>
      </c>
      <c r="E691" s="11">
        <v>0.0744606819763398</v>
      </c>
    </row>
    <row r="692" spans="1:5">
      <c r="A692" s="13">
        <v>44682</v>
      </c>
      <c r="B692" t="s">
        <v>221</v>
      </c>
      <c r="C692" t="s">
        <v>218</v>
      </c>
      <c r="D692" s="12">
        <v>173.8</v>
      </c>
      <c r="E692" s="11">
        <v>0.1013941698352345</v>
      </c>
    </row>
    <row r="693" spans="1:5">
      <c r="A693" s="13">
        <v>44682</v>
      </c>
      <c r="B693" t="s">
        <v>213</v>
      </c>
      <c r="C693" t="s">
        <v>217</v>
      </c>
      <c r="D693" s="12">
        <v>166.7</v>
      </c>
      <c r="E693" s="11">
        <v>0.1083776595744678</v>
      </c>
    </row>
    <row r="694" spans="1:5">
      <c r="A694" s="13">
        <v>44713</v>
      </c>
      <c r="B694" t="s">
        <v>221</v>
      </c>
      <c r="C694" t="s">
        <v>218</v>
      </c>
      <c r="D694" s="12">
        <v>175.5</v>
      </c>
      <c r="E694" s="11">
        <v>0.1128725428027901</v>
      </c>
    </row>
    <row r="695" spans="1:5">
      <c r="A695" s="13">
        <v>44713</v>
      </c>
      <c r="B695" t="s">
        <v>215</v>
      </c>
      <c r="C695" t="s">
        <v>216</v>
      </c>
      <c r="D695" s="12">
        <v>154.9</v>
      </c>
      <c r="E695" s="11">
        <v>0.0742024965325938</v>
      </c>
    </row>
    <row r="696" spans="1:5">
      <c r="A696" s="13">
        <v>44713</v>
      </c>
      <c r="B696" t="s">
        <v>213</v>
      </c>
      <c r="C696" t="s">
        <v>217</v>
      </c>
      <c r="D696" s="12">
        <v>165.9</v>
      </c>
      <c r="E696" s="11">
        <v>0.09722222222222229</v>
      </c>
    </row>
    <row r="697" spans="1:5">
      <c r="A697" s="13">
        <v>44713</v>
      </c>
      <c r="B697" t="s">
        <v>213</v>
      </c>
      <c r="C697" t="s">
        <v>218</v>
      </c>
      <c r="D697" s="12">
        <v>182.5</v>
      </c>
      <c r="E697" s="11">
        <v>0.1080752884031572</v>
      </c>
    </row>
    <row r="698" spans="1:5">
      <c r="A698" s="13">
        <v>44713</v>
      </c>
      <c r="B698" t="s">
        <v>213</v>
      </c>
      <c r="C698" t="s">
        <v>220</v>
      </c>
      <c r="D698" s="12">
        <v>162.8</v>
      </c>
      <c r="E698" s="11">
        <v>0.09408602150537621</v>
      </c>
    </row>
    <row r="699" spans="1:5">
      <c r="A699" s="13">
        <v>44713</v>
      </c>
      <c r="B699" t="s">
        <v>213</v>
      </c>
      <c r="C699" t="s">
        <v>219</v>
      </c>
      <c r="D699" s="12">
        <v>193.1</v>
      </c>
      <c r="E699" s="11">
        <v>0.0946712018140589</v>
      </c>
    </row>
    <row r="700" spans="1:5">
      <c r="A700" s="13">
        <v>44713</v>
      </c>
      <c r="B700" t="s">
        <v>221</v>
      </c>
      <c r="C700" t="s">
        <v>220</v>
      </c>
      <c r="D700" s="12">
        <v>157.8</v>
      </c>
      <c r="E700" s="11">
        <v>0.0860289057123193</v>
      </c>
    </row>
    <row r="701" spans="1:5">
      <c r="A701" s="13">
        <v>44713</v>
      </c>
      <c r="B701" t="s">
        <v>213</v>
      </c>
      <c r="C701" t="s">
        <v>216</v>
      </c>
      <c r="D701" s="12">
        <v>154.4</v>
      </c>
      <c r="E701" s="11">
        <v>0.0789657582110412</v>
      </c>
    </row>
    <row r="702" spans="1:5">
      <c r="A702" s="13">
        <v>44713</v>
      </c>
      <c r="B702" t="s">
        <v>221</v>
      </c>
      <c r="C702" t="s">
        <v>217</v>
      </c>
      <c r="D702" s="12">
        <v>163.6</v>
      </c>
      <c r="E702" s="11">
        <v>0.097986577181208</v>
      </c>
    </row>
    <row r="703" spans="1:5">
      <c r="A703" s="13">
        <v>44713</v>
      </c>
      <c r="B703" t="s">
        <v>221</v>
      </c>
      <c r="C703" t="s">
        <v>216</v>
      </c>
      <c r="D703" s="12">
        <v>152.9</v>
      </c>
      <c r="E703" s="11">
        <v>0.08132956152758131</v>
      </c>
    </row>
    <row r="704" spans="1:5">
      <c r="A704" s="13">
        <v>44713</v>
      </c>
      <c r="B704" t="s">
        <v>221</v>
      </c>
      <c r="C704" t="s">
        <v>214</v>
      </c>
      <c r="D704" s="12">
        <v>168.3</v>
      </c>
      <c r="E704" s="11">
        <v>0.09427828348504549</v>
      </c>
    </row>
    <row r="705" spans="1:5">
      <c r="A705" s="13">
        <v>44713</v>
      </c>
      <c r="B705" t="s">
        <v>221</v>
      </c>
      <c r="C705" t="s">
        <v>219</v>
      </c>
      <c r="D705" s="12">
        <v>190.8</v>
      </c>
      <c r="E705" s="11">
        <v>0.0797962648556878</v>
      </c>
    </row>
    <row r="706" spans="1:5">
      <c r="A706" s="13">
        <v>44713</v>
      </c>
      <c r="B706" t="s">
        <v>213</v>
      </c>
      <c r="C706" t="s">
        <v>214</v>
      </c>
      <c r="D706" s="12">
        <v>172.2</v>
      </c>
      <c r="E706" s="11">
        <v>0.1003194888178913</v>
      </c>
    </row>
    <row r="707" spans="1:5">
      <c r="A707" s="13">
        <v>44743</v>
      </c>
      <c r="B707" t="s">
        <v>213</v>
      </c>
      <c r="C707" t="s">
        <v>217</v>
      </c>
      <c r="D707" s="12">
        <v>166</v>
      </c>
      <c r="E707" s="11">
        <v>0.1088844355377423</v>
      </c>
    </row>
    <row r="708" spans="1:5">
      <c r="A708" s="13">
        <v>44743</v>
      </c>
      <c r="B708" t="s">
        <v>213</v>
      </c>
      <c r="C708" t="s">
        <v>218</v>
      </c>
      <c r="D708" s="12">
        <v>187.1</v>
      </c>
      <c r="E708" s="11">
        <v>0.1332525741974561</v>
      </c>
    </row>
    <row r="709" spans="1:5">
      <c r="A709" s="13">
        <v>44743</v>
      </c>
      <c r="B709" t="s">
        <v>213</v>
      </c>
      <c r="C709" t="s">
        <v>220</v>
      </c>
      <c r="D709" s="12">
        <v>165.2</v>
      </c>
      <c r="E709" s="11">
        <v>0.0911492734478203</v>
      </c>
    </row>
    <row r="710" spans="1:5">
      <c r="A710" s="13">
        <v>44743</v>
      </c>
      <c r="B710" t="s">
        <v>213</v>
      </c>
      <c r="C710" t="s">
        <v>219</v>
      </c>
      <c r="D710" s="12">
        <v>193</v>
      </c>
      <c r="E710" s="11">
        <v>0.0716268739589116</v>
      </c>
    </row>
    <row r="711" spans="1:5">
      <c r="A711" s="13">
        <v>44743</v>
      </c>
      <c r="B711" t="s">
        <v>213</v>
      </c>
      <c r="C711" t="s">
        <v>214</v>
      </c>
      <c r="D711" s="12">
        <v>173.4</v>
      </c>
      <c r="E711" s="11">
        <v>0.1030534351145038</v>
      </c>
    </row>
    <row r="712" spans="1:5">
      <c r="A712" s="13">
        <v>44743</v>
      </c>
      <c r="B712" t="s">
        <v>221</v>
      </c>
      <c r="C712" t="s">
        <v>218</v>
      </c>
      <c r="D712" s="12">
        <v>178.7</v>
      </c>
      <c r="E712" s="11">
        <v>0.1317289423685876</v>
      </c>
    </row>
    <row r="713" spans="1:5">
      <c r="A713" s="13">
        <v>44743</v>
      </c>
      <c r="B713" t="s">
        <v>221</v>
      </c>
      <c r="C713" t="s">
        <v>217</v>
      </c>
      <c r="D713" s="12">
        <v>163.5</v>
      </c>
      <c r="E713" s="11">
        <v>0.101010101010101</v>
      </c>
    </row>
    <row r="714" spans="1:5">
      <c r="A714" s="13">
        <v>44743</v>
      </c>
      <c r="B714" t="s">
        <v>221</v>
      </c>
      <c r="C714" t="s">
        <v>220</v>
      </c>
      <c r="D714" s="12">
        <v>159.4</v>
      </c>
      <c r="E714" s="11">
        <v>0.08879781420765021</v>
      </c>
    </row>
    <row r="715" spans="1:5">
      <c r="A715" s="13">
        <v>44743</v>
      </c>
      <c r="B715" t="s">
        <v>221</v>
      </c>
      <c r="C715" t="s">
        <v>214</v>
      </c>
      <c r="D715" s="12">
        <v>169.7</v>
      </c>
      <c r="E715" s="11">
        <v>0.0990932642487045</v>
      </c>
    </row>
    <row r="716" spans="1:5">
      <c r="A716" s="13">
        <v>44743</v>
      </c>
      <c r="B716" t="s">
        <v>215</v>
      </c>
      <c r="C716" t="s">
        <v>216</v>
      </c>
      <c r="D716" s="12">
        <v>155.4</v>
      </c>
      <c r="E716" s="11">
        <v>0.0746887966804981</v>
      </c>
    </row>
    <row r="717" spans="1:5">
      <c r="A717" s="13">
        <v>44743</v>
      </c>
      <c r="B717" t="s">
        <v>213</v>
      </c>
      <c r="C717" t="s">
        <v>216</v>
      </c>
      <c r="D717" s="12">
        <v>154.6</v>
      </c>
      <c r="E717" s="11">
        <v>0.0758524704244956</v>
      </c>
    </row>
    <row r="718" spans="1:5">
      <c r="A718" s="13">
        <v>44743</v>
      </c>
      <c r="B718" t="s">
        <v>221</v>
      </c>
      <c r="C718" t="s">
        <v>216</v>
      </c>
      <c r="D718" s="12">
        <v>153.1</v>
      </c>
      <c r="E718" s="11">
        <v>0.0758959943780743</v>
      </c>
    </row>
    <row r="719" spans="1:5">
      <c r="A719" s="13">
        <v>44743</v>
      </c>
      <c r="B719" t="s">
        <v>221</v>
      </c>
      <c r="C719" t="s">
        <v>219</v>
      </c>
      <c r="D719" s="12">
        <v>192</v>
      </c>
      <c r="E719" s="11">
        <v>0.0613598673300166</v>
      </c>
    </row>
    <row r="720" spans="1:5">
      <c r="A720" s="13">
        <v>44774</v>
      </c>
      <c r="B720" t="s">
        <v>221</v>
      </c>
      <c r="C720" t="s">
        <v>219</v>
      </c>
      <c r="D720" s="12">
        <v>193.9</v>
      </c>
      <c r="E720" s="11">
        <v>0.0647995606809446</v>
      </c>
    </row>
    <row r="721" spans="1:5">
      <c r="A721" s="13">
        <v>44774</v>
      </c>
      <c r="B721" t="s">
        <v>221</v>
      </c>
      <c r="C721" t="s">
        <v>214</v>
      </c>
      <c r="D721" s="12">
        <v>171.4</v>
      </c>
      <c r="E721" s="11">
        <v>0.107950872656755</v>
      </c>
    </row>
    <row r="722" spans="1:5">
      <c r="A722" s="13">
        <v>44774</v>
      </c>
      <c r="B722" t="s">
        <v>215</v>
      </c>
      <c r="C722" t="s">
        <v>216</v>
      </c>
      <c r="D722" s="12">
        <v>154.8</v>
      </c>
      <c r="E722" s="11">
        <v>0.0675862068965518</v>
      </c>
    </row>
    <row r="723" spans="1:5">
      <c r="A723" s="13">
        <v>44774</v>
      </c>
      <c r="B723" t="s">
        <v>213</v>
      </c>
      <c r="C723" t="s">
        <v>217</v>
      </c>
      <c r="D723" s="12">
        <v>166</v>
      </c>
      <c r="E723" s="11">
        <v>0.1163416274377941</v>
      </c>
    </row>
    <row r="724" spans="1:5">
      <c r="A724" s="13">
        <v>44774</v>
      </c>
      <c r="B724" t="s">
        <v>213</v>
      </c>
      <c r="C724" t="s">
        <v>218</v>
      </c>
      <c r="D724" s="12">
        <v>190.8</v>
      </c>
      <c r="E724" s="11">
        <v>0.1577669902912621</v>
      </c>
    </row>
    <row r="725" spans="1:5">
      <c r="A725" s="13">
        <v>44774</v>
      </c>
      <c r="B725" t="s">
        <v>213</v>
      </c>
      <c r="C725" t="s">
        <v>220</v>
      </c>
      <c r="D725" s="12">
        <v>164.9</v>
      </c>
      <c r="E725" s="11">
        <v>0.079895219384414</v>
      </c>
    </row>
    <row r="726" spans="1:5">
      <c r="A726" s="13">
        <v>44774</v>
      </c>
      <c r="B726" t="s">
        <v>221</v>
      </c>
      <c r="C726" t="s">
        <v>216</v>
      </c>
      <c r="D726" s="12">
        <v>152.6</v>
      </c>
      <c r="E726" s="11">
        <v>0.0701262272089762</v>
      </c>
    </row>
    <row r="727" spans="1:5">
      <c r="A727" s="13">
        <v>44774</v>
      </c>
      <c r="B727" t="s">
        <v>213</v>
      </c>
      <c r="C727" t="s">
        <v>214</v>
      </c>
      <c r="D727" s="12">
        <v>175.2</v>
      </c>
      <c r="E727" s="11">
        <v>0.1102661596958174</v>
      </c>
    </row>
    <row r="728" spans="1:5">
      <c r="A728" s="13">
        <v>44774</v>
      </c>
      <c r="B728" t="s">
        <v>213</v>
      </c>
      <c r="C728" t="s">
        <v>216</v>
      </c>
      <c r="D728" s="12">
        <v>154.1</v>
      </c>
      <c r="E728" s="11">
        <v>0.0693962526023594</v>
      </c>
    </row>
    <row r="729" spans="1:5">
      <c r="A729" s="13">
        <v>44774</v>
      </c>
      <c r="B729" t="s">
        <v>221</v>
      </c>
      <c r="C729" t="s">
        <v>217</v>
      </c>
      <c r="D729" s="12">
        <v>163.3</v>
      </c>
      <c r="E729" s="11">
        <v>0.1108843537414967</v>
      </c>
    </row>
    <row r="730" spans="1:5">
      <c r="A730" s="13">
        <v>44774</v>
      </c>
      <c r="B730" t="s">
        <v>221</v>
      </c>
      <c r="C730" t="s">
        <v>218</v>
      </c>
      <c r="D730" s="12">
        <v>182.4</v>
      </c>
      <c r="E730" s="11">
        <v>0.1507886435331231</v>
      </c>
    </row>
    <row r="731" spans="1:5">
      <c r="A731" s="13">
        <v>44774</v>
      </c>
      <c r="B731" t="s">
        <v>221</v>
      </c>
      <c r="C731" t="s">
        <v>220</v>
      </c>
      <c r="D731" s="12">
        <v>159.4</v>
      </c>
      <c r="E731" s="11">
        <v>0.07484828051247459</v>
      </c>
    </row>
    <row r="732" spans="1:5">
      <c r="A732" s="13">
        <v>44774</v>
      </c>
      <c r="B732" t="s">
        <v>213</v>
      </c>
      <c r="C732" t="s">
        <v>219</v>
      </c>
      <c r="D732" s="12">
        <v>196.1</v>
      </c>
      <c r="E732" s="11">
        <v>0.0704148471615719</v>
      </c>
    </row>
    <row r="733" spans="1:5">
      <c r="A733" s="13">
        <v>44805</v>
      </c>
      <c r="B733" t="s">
        <v>215</v>
      </c>
      <c r="C733" t="s">
        <v>216</v>
      </c>
      <c r="D733" s="12">
        <v>154.9</v>
      </c>
      <c r="E733" s="11">
        <v>0.0660701995870611</v>
      </c>
    </row>
    <row r="734" spans="1:5">
      <c r="A734" s="13">
        <v>44805</v>
      </c>
      <c r="B734" t="s">
        <v>213</v>
      </c>
      <c r="C734" t="s">
        <v>217</v>
      </c>
      <c r="D734" s="12">
        <v>162.7</v>
      </c>
      <c r="E734" s="11">
        <v>0.1151473612063056</v>
      </c>
    </row>
    <row r="735" spans="1:5">
      <c r="A735" s="13">
        <v>44805</v>
      </c>
      <c r="B735" t="s">
        <v>213</v>
      </c>
      <c r="C735" t="s">
        <v>218</v>
      </c>
      <c r="D735" s="12">
        <v>192.1</v>
      </c>
      <c r="E735" s="11">
        <v>0.1649484536082472</v>
      </c>
    </row>
    <row r="736" spans="1:5">
      <c r="A736" s="13">
        <v>44805</v>
      </c>
      <c r="B736" t="s">
        <v>213</v>
      </c>
      <c r="C736" t="s">
        <v>220</v>
      </c>
      <c r="D736" s="12">
        <v>169.4</v>
      </c>
      <c r="E736" s="11">
        <v>0.1115485564304461</v>
      </c>
    </row>
    <row r="737" spans="1:5">
      <c r="A737" s="13">
        <v>44805</v>
      </c>
      <c r="B737" t="s">
        <v>213</v>
      </c>
      <c r="C737" t="s">
        <v>219</v>
      </c>
      <c r="D737" s="12">
        <v>200</v>
      </c>
      <c r="E737" s="11">
        <v>0.0875475802066341</v>
      </c>
    </row>
    <row r="738" spans="1:5">
      <c r="A738" s="13">
        <v>44805</v>
      </c>
      <c r="B738" t="s">
        <v>221</v>
      </c>
      <c r="C738" t="s">
        <v>217</v>
      </c>
      <c r="D738" s="12">
        <v>161.9</v>
      </c>
      <c r="E738" s="11">
        <v>0.1219681219681219</v>
      </c>
    </row>
    <row r="739" spans="1:5">
      <c r="A739" s="13">
        <v>44805</v>
      </c>
      <c r="B739" t="s">
        <v>213</v>
      </c>
      <c r="C739" t="s">
        <v>216</v>
      </c>
      <c r="D739" s="12">
        <v>154.1</v>
      </c>
      <c r="E739" s="11">
        <v>0.06717451523545701</v>
      </c>
    </row>
    <row r="740" spans="1:5">
      <c r="A740" s="13">
        <v>44805</v>
      </c>
      <c r="B740" t="s">
        <v>221</v>
      </c>
      <c r="C740" t="s">
        <v>218</v>
      </c>
      <c r="D740" s="12">
        <v>183.5</v>
      </c>
      <c r="E740" s="11">
        <v>0.1606578115117014</v>
      </c>
    </row>
    <row r="741" spans="1:5">
      <c r="A741" s="13">
        <v>44805</v>
      </c>
      <c r="B741" t="s">
        <v>221</v>
      </c>
      <c r="C741" t="s">
        <v>220</v>
      </c>
      <c r="D741" s="12">
        <v>162.8</v>
      </c>
      <c r="E741" s="11">
        <v>0.1</v>
      </c>
    </row>
    <row r="742" spans="1:5">
      <c r="A742" s="13">
        <v>44805</v>
      </c>
      <c r="B742" t="s">
        <v>221</v>
      </c>
      <c r="C742" t="s">
        <v>214</v>
      </c>
      <c r="D742" s="12">
        <v>173.1</v>
      </c>
      <c r="E742" s="11">
        <v>0.1138996138996137</v>
      </c>
    </row>
    <row r="743" spans="1:5">
      <c r="A743" s="13">
        <v>44805</v>
      </c>
      <c r="B743" t="s">
        <v>213</v>
      </c>
      <c r="C743" t="s">
        <v>214</v>
      </c>
      <c r="D743" s="12">
        <v>176.4</v>
      </c>
      <c r="E743" s="11">
        <v>0.1150442477876108</v>
      </c>
    </row>
    <row r="744" spans="1:5">
      <c r="A744" s="13">
        <v>44805</v>
      </c>
      <c r="B744" t="s">
        <v>221</v>
      </c>
      <c r="C744" t="s">
        <v>219</v>
      </c>
      <c r="D744" s="12">
        <v>198.8</v>
      </c>
      <c r="E744" s="11">
        <v>0.07575757575757559</v>
      </c>
    </row>
    <row r="745" spans="1:5">
      <c r="A745" s="13">
        <v>44805</v>
      </c>
      <c r="B745" t="s">
        <v>221</v>
      </c>
      <c r="C745" t="s">
        <v>216</v>
      </c>
      <c r="D745" s="12">
        <v>152.7</v>
      </c>
      <c r="E745" s="11">
        <v>0.0685794261721481</v>
      </c>
    </row>
    <row r="746" spans="1:5">
      <c r="A746" s="13">
        <v>44835</v>
      </c>
      <c r="B746" t="s">
        <v>215</v>
      </c>
      <c r="C746" t="s">
        <v>216</v>
      </c>
      <c r="D746" s="12">
        <v>155.9</v>
      </c>
      <c r="E746" s="11">
        <v>0.0641638225255973</v>
      </c>
    </row>
    <row r="747" spans="1:5">
      <c r="A747" s="13">
        <v>44835</v>
      </c>
      <c r="B747" t="s">
        <v>221</v>
      </c>
      <c r="C747" t="s">
        <v>216</v>
      </c>
      <c r="D747" s="12">
        <v>153.8</v>
      </c>
      <c r="E747" s="11">
        <v>0.06879777623349539</v>
      </c>
    </row>
    <row r="748" spans="1:5">
      <c r="A748" s="13">
        <v>44835</v>
      </c>
      <c r="B748" t="s">
        <v>221</v>
      </c>
      <c r="C748" t="s">
        <v>214</v>
      </c>
      <c r="D748" s="12">
        <v>173</v>
      </c>
      <c r="E748" s="11">
        <v>0.1103979460847239</v>
      </c>
    </row>
    <row r="749" spans="1:5">
      <c r="A749" s="13">
        <v>44835</v>
      </c>
      <c r="B749" t="s">
        <v>221</v>
      </c>
      <c r="C749" t="s">
        <v>219</v>
      </c>
      <c r="D749" s="12">
        <v>197.4</v>
      </c>
      <c r="E749" s="11">
        <v>0.0550507749866382</v>
      </c>
    </row>
    <row r="750" spans="1:5">
      <c r="A750" s="13">
        <v>44835</v>
      </c>
      <c r="B750" t="s">
        <v>221</v>
      </c>
      <c r="C750" t="s">
        <v>220</v>
      </c>
      <c r="D750" s="12">
        <v>162.6</v>
      </c>
      <c r="E750" s="11">
        <v>0.1091405184174625</v>
      </c>
    </row>
    <row r="751" spans="1:5">
      <c r="A751" s="13">
        <v>44835</v>
      </c>
      <c r="B751" t="s">
        <v>221</v>
      </c>
      <c r="C751" t="s">
        <v>218</v>
      </c>
      <c r="D751" s="12">
        <v>186.3</v>
      </c>
      <c r="E751" s="11">
        <v>0.1694915254237288</v>
      </c>
    </row>
    <row r="752" spans="1:5">
      <c r="A752" s="13">
        <v>44835</v>
      </c>
      <c r="B752" t="s">
        <v>221</v>
      </c>
      <c r="C752" t="s">
        <v>217</v>
      </c>
      <c r="D752" s="12">
        <v>159</v>
      </c>
      <c r="E752" s="11">
        <v>0.1003460207612456</v>
      </c>
    </row>
    <row r="753" spans="1:5">
      <c r="A753" s="13">
        <v>44835</v>
      </c>
      <c r="B753" t="s">
        <v>213</v>
      </c>
      <c r="C753" t="s">
        <v>216</v>
      </c>
      <c r="D753" s="12">
        <v>155.2</v>
      </c>
      <c r="E753" s="11">
        <v>0.0652024708304734</v>
      </c>
    </row>
    <row r="754" spans="1:5">
      <c r="A754" s="13">
        <v>44835</v>
      </c>
      <c r="B754" t="s">
        <v>213</v>
      </c>
      <c r="C754" t="s">
        <v>214</v>
      </c>
      <c r="D754" s="12">
        <v>175.2</v>
      </c>
      <c r="E754" s="11">
        <v>0.1074589127686473</v>
      </c>
    </row>
    <row r="755" spans="1:5">
      <c r="A755" s="13">
        <v>44835</v>
      </c>
      <c r="B755" t="s">
        <v>213</v>
      </c>
      <c r="C755" t="s">
        <v>219</v>
      </c>
      <c r="D755" s="12">
        <v>196.4</v>
      </c>
      <c r="E755" s="11">
        <v>0.06855277475516861</v>
      </c>
    </row>
    <row r="756" spans="1:5">
      <c r="A756" s="13">
        <v>44835</v>
      </c>
      <c r="B756" t="s">
        <v>213</v>
      </c>
      <c r="C756" t="s">
        <v>220</v>
      </c>
      <c r="D756" s="12">
        <v>166.9</v>
      </c>
      <c r="E756" s="11">
        <v>0.1104457751164338</v>
      </c>
    </row>
    <row r="757" spans="1:5">
      <c r="A757" s="13">
        <v>44835</v>
      </c>
      <c r="B757" t="s">
        <v>213</v>
      </c>
      <c r="C757" t="s">
        <v>218</v>
      </c>
      <c r="D757" s="12">
        <v>193.8</v>
      </c>
      <c r="E757" s="11">
        <v>0.1618705035971221</v>
      </c>
    </row>
    <row r="758" spans="1:5">
      <c r="A758" s="13">
        <v>44835</v>
      </c>
      <c r="B758" t="s">
        <v>213</v>
      </c>
      <c r="C758" t="s">
        <v>217</v>
      </c>
      <c r="D758" s="12">
        <v>158.6</v>
      </c>
      <c r="E758" s="11">
        <v>0.0900343642611682</v>
      </c>
    </row>
    <row r="759" spans="1:5">
      <c r="A759" s="13">
        <v>44866</v>
      </c>
      <c r="B759" t="s">
        <v>215</v>
      </c>
      <c r="C759" t="s">
        <v>216</v>
      </c>
      <c r="D759" s="12">
        <v>156.3</v>
      </c>
      <c r="E759" s="11">
        <v>0.0647138964577656</v>
      </c>
    </row>
    <row r="760" spans="1:5">
      <c r="A760" s="13">
        <v>44866</v>
      </c>
      <c r="B760" t="s">
        <v>221</v>
      </c>
      <c r="C760" t="s">
        <v>216</v>
      </c>
      <c r="D760" s="12">
        <v>154</v>
      </c>
      <c r="E760" s="11">
        <v>0.0679611650485438</v>
      </c>
    </row>
    <row r="761" spans="1:5">
      <c r="A761" s="13">
        <v>44866</v>
      </c>
      <c r="B761" t="s">
        <v>221</v>
      </c>
      <c r="C761" t="s">
        <v>214</v>
      </c>
      <c r="D761" s="12">
        <v>175.7</v>
      </c>
      <c r="E761" s="11">
        <v>0.1141407736207988</v>
      </c>
    </row>
    <row r="762" spans="1:5">
      <c r="A762" s="13">
        <v>44866</v>
      </c>
      <c r="B762" t="s">
        <v>221</v>
      </c>
      <c r="C762" t="s">
        <v>219</v>
      </c>
      <c r="D762" s="12">
        <v>197.9</v>
      </c>
      <c r="E762" s="11">
        <v>0.0622651637144391</v>
      </c>
    </row>
    <row r="763" spans="1:5">
      <c r="A763" s="13">
        <v>44866</v>
      </c>
      <c r="B763" t="s">
        <v>213</v>
      </c>
      <c r="C763" t="s">
        <v>217</v>
      </c>
      <c r="D763" s="12">
        <v>170.4</v>
      </c>
      <c r="E763" s="11">
        <v>0.109375</v>
      </c>
    </row>
    <row r="764" spans="1:5">
      <c r="A764" s="13">
        <v>44866</v>
      </c>
      <c r="B764" t="s">
        <v>221</v>
      </c>
      <c r="C764" t="s">
        <v>220</v>
      </c>
      <c r="D764" s="12">
        <v>164.3</v>
      </c>
      <c r="E764" s="11">
        <v>0.119972733469666</v>
      </c>
    </row>
    <row r="765" spans="1:5">
      <c r="A765" s="13">
        <v>44866</v>
      </c>
      <c r="B765" t="s">
        <v>221</v>
      </c>
      <c r="C765" t="s">
        <v>218</v>
      </c>
      <c r="D765" s="12">
        <v>186.9</v>
      </c>
      <c r="E765" s="11">
        <v>0.1565594059405941</v>
      </c>
    </row>
    <row r="766" spans="1:5">
      <c r="A766" s="13">
        <v>44866</v>
      </c>
      <c r="B766" t="s">
        <v>221</v>
      </c>
      <c r="C766" t="s">
        <v>217</v>
      </c>
      <c r="D766" s="12">
        <v>169.9</v>
      </c>
      <c r="E766" s="11">
        <v>0.1104575163398693</v>
      </c>
    </row>
    <row r="767" spans="1:5">
      <c r="A767" s="13">
        <v>44866</v>
      </c>
      <c r="B767" t="s">
        <v>213</v>
      </c>
      <c r="C767" t="s">
        <v>216</v>
      </c>
      <c r="D767" s="12">
        <v>155.4</v>
      </c>
      <c r="E767" s="11">
        <v>0.0643835616438357</v>
      </c>
    </row>
    <row r="768" spans="1:5">
      <c r="A768" s="13">
        <v>44866</v>
      </c>
      <c r="B768" t="s">
        <v>213</v>
      </c>
      <c r="C768" t="s">
        <v>214</v>
      </c>
      <c r="D768" s="12">
        <v>178.4</v>
      </c>
      <c r="E768" s="11">
        <v>0.1087632069608453</v>
      </c>
    </row>
    <row r="769" spans="1:5">
      <c r="A769" s="13">
        <v>44866</v>
      </c>
      <c r="B769" t="s">
        <v>213</v>
      </c>
      <c r="C769" t="s">
        <v>219</v>
      </c>
      <c r="D769" s="12">
        <v>194.3</v>
      </c>
      <c r="E769" s="11">
        <v>0.052546045503792</v>
      </c>
    </row>
    <row r="770" spans="1:5">
      <c r="A770" s="13">
        <v>44866</v>
      </c>
      <c r="B770" t="s">
        <v>213</v>
      </c>
      <c r="C770" t="s">
        <v>220</v>
      </c>
      <c r="D770" s="12">
        <v>171</v>
      </c>
      <c r="E770" s="11">
        <v>0.125</v>
      </c>
    </row>
    <row r="771" spans="1:5">
      <c r="A771" s="13">
        <v>44866</v>
      </c>
      <c r="B771" t="s">
        <v>213</v>
      </c>
      <c r="C771" t="s">
        <v>218</v>
      </c>
      <c r="D771" s="12">
        <v>194.4</v>
      </c>
      <c r="E771" s="11">
        <v>0.1462264150943397</v>
      </c>
    </row>
    <row r="772" spans="1:5">
      <c r="A772" s="13">
        <v>44896</v>
      </c>
      <c r="B772" t="s">
        <v>221</v>
      </c>
      <c r="C772" t="s">
        <v>214</v>
      </c>
      <c r="D772" s="12">
        <v>176.3</v>
      </c>
      <c r="E772" s="11">
        <v>0.1102015113350125</v>
      </c>
    </row>
    <row r="773" spans="1:5">
      <c r="A773" s="13">
        <v>44896</v>
      </c>
      <c r="B773" t="s">
        <v>221</v>
      </c>
      <c r="C773" t="s">
        <v>216</v>
      </c>
      <c r="D773" s="12">
        <v>153.1</v>
      </c>
      <c r="E773" s="11">
        <v>0.0631944444444443</v>
      </c>
    </row>
    <row r="774" spans="1:5">
      <c r="A774" s="13">
        <v>44896</v>
      </c>
      <c r="B774" t="s">
        <v>221</v>
      </c>
      <c r="C774" t="s">
        <v>219</v>
      </c>
      <c r="D774" s="12">
        <v>196.5</v>
      </c>
      <c r="E774" s="11">
        <v>0.0604425256341067</v>
      </c>
    </row>
    <row r="775" spans="1:5">
      <c r="A775" s="13">
        <v>44896</v>
      </c>
      <c r="B775" t="s">
        <v>221</v>
      </c>
      <c r="C775" t="s">
        <v>220</v>
      </c>
      <c r="D775" s="12">
        <v>163.4</v>
      </c>
      <c r="E775" s="11">
        <v>0.119945167923235</v>
      </c>
    </row>
    <row r="776" spans="1:5">
      <c r="A776" s="13">
        <v>44896</v>
      </c>
      <c r="B776" t="s">
        <v>221</v>
      </c>
      <c r="C776" t="s">
        <v>218</v>
      </c>
      <c r="D776" s="12">
        <v>188.3</v>
      </c>
      <c r="E776" s="11">
        <v>0.1474710542352224</v>
      </c>
    </row>
    <row r="777" spans="1:5">
      <c r="A777" s="13">
        <v>44896</v>
      </c>
      <c r="B777" t="s">
        <v>221</v>
      </c>
      <c r="C777" t="s">
        <v>217</v>
      </c>
      <c r="D777" s="12">
        <v>176.4</v>
      </c>
      <c r="E777" s="11">
        <v>0.124282982791587</v>
      </c>
    </row>
    <row r="778" spans="1:5">
      <c r="A778" s="13">
        <v>44896</v>
      </c>
      <c r="B778" t="s">
        <v>213</v>
      </c>
      <c r="C778" t="s">
        <v>216</v>
      </c>
      <c r="D778" s="12">
        <v>154.8</v>
      </c>
      <c r="E778" s="11">
        <v>0.0602739726027397</v>
      </c>
    </row>
    <row r="779" spans="1:5">
      <c r="A779" s="13">
        <v>44896</v>
      </c>
      <c r="B779" t="s">
        <v>213</v>
      </c>
      <c r="C779" t="s">
        <v>214</v>
      </c>
      <c r="D779" s="12">
        <v>180.2</v>
      </c>
      <c r="E779" s="11">
        <v>0.1102895871842266</v>
      </c>
    </row>
    <row r="780" spans="1:5">
      <c r="A780" s="13">
        <v>44896</v>
      </c>
      <c r="B780" t="s">
        <v>213</v>
      </c>
      <c r="C780" t="s">
        <v>219</v>
      </c>
      <c r="D780" s="12">
        <v>196.5</v>
      </c>
      <c r="E780" s="11">
        <v>0.0592991913746629</v>
      </c>
    </row>
    <row r="781" spans="1:5">
      <c r="A781" s="13">
        <v>44896</v>
      </c>
      <c r="B781" t="s">
        <v>213</v>
      </c>
      <c r="C781" t="s">
        <v>220</v>
      </c>
      <c r="D781" s="12">
        <v>169.2</v>
      </c>
      <c r="E781" s="11">
        <v>0.1279999999999999</v>
      </c>
    </row>
    <row r="782" spans="1:5">
      <c r="A782" s="13">
        <v>44896</v>
      </c>
      <c r="B782" t="s">
        <v>213</v>
      </c>
      <c r="C782" t="s">
        <v>218</v>
      </c>
      <c r="D782" s="12">
        <v>197.5</v>
      </c>
      <c r="E782" s="11">
        <v>0.1482558139534884</v>
      </c>
    </row>
    <row r="783" spans="1:5">
      <c r="A783" s="13">
        <v>44896</v>
      </c>
      <c r="B783" t="s">
        <v>213</v>
      </c>
      <c r="C783" t="s">
        <v>217</v>
      </c>
      <c r="D783" s="12">
        <v>178.3</v>
      </c>
      <c r="E783" s="11">
        <v>0.120678818353237</v>
      </c>
    </row>
    <row r="784" spans="1:5">
      <c r="A784" s="13">
        <v>44896</v>
      </c>
      <c r="B784" t="s">
        <v>215</v>
      </c>
      <c r="C784" t="s">
        <v>216</v>
      </c>
      <c r="D784" s="12">
        <v>155.9</v>
      </c>
      <c r="E784" s="11">
        <v>0.0598232494901429</v>
      </c>
    </row>
    <row r="785" spans="1:5">
      <c r="A785" s="13">
        <v>44927</v>
      </c>
      <c r="B785" t="s">
        <v>213</v>
      </c>
      <c r="C785" t="s">
        <v>220</v>
      </c>
      <c r="D785" s="12">
        <v>174</v>
      </c>
      <c r="E785" s="11">
        <v>0.1342894393741851</v>
      </c>
    </row>
    <row r="786" spans="1:5">
      <c r="A786" s="13">
        <v>44927</v>
      </c>
      <c r="B786" t="s">
        <v>213</v>
      </c>
      <c r="C786" t="s">
        <v>218</v>
      </c>
      <c r="D786" s="12">
        <v>196.3</v>
      </c>
      <c r="E786" s="11">
        <v>0.1386310904872389</v>
      </c>
    </row>
    <row r="787" spans="1:5">
      <c r="A787" s="13">
        <v>44927</v>
      </c>
      <c r="B787" t="s">
        <v>213</v>
      </c>
      <c r="C787" t="s">
        <v>217</v>
      </c>
      <c r="D787" s="12">
        <v>184.7</v>
      </c>
      <c r="E787" s="11">
        <v>0.1227963525835864</v>
      </c>
    </row>
    <row r="788" spans="1:5">
      <c r="A788" s="13">
        <v>44927</v>
      </c>
      <c r="B788" t="s">
        <v>215</v>
      </c>
      <c r="C788" t="s">
        <v>216</v>
      </c>
      <c r="D788" s="12">
        <v>156.8</v>
      </c>
      <c r="E788" s="11">
        <v>0.0573162508428859</v>
      </c>
    </row>
    <row r="789" spans="1:5">
      <c r="A789" s="13">
        <v>44927</v>
      </c>
      <c r="B789" t="s">
        <v>213</v>
      </c>
      <c r="C789" t="s">
        <v>216</v>
      </c>
      <c r="D789" s="12">
        <v>155.7</v>
      </c>
      <c r="E789" s="11">
        <v>0.0563093622795114</v>
      </c>
    </row>
    <row r="790" spans="1:5">
      <c r="A790" s="13">
        <v>44927</v>
      </c>
      <c r="B790" t="s">
        <v>221</v>
      </c>
      <c r="C790" t="s">
        <v>217</v>
      </c>
      <c r="D790" s="12">
        <v>182.1</v>
      </c>
      <c r="E790" s="11">
        <v>0.1303538175046554</v>
      </c>
    </row>
    <row r="791" spans="1:5">
      <c r="A791" s="13">
        <v>44927</v>
      </c>
      <c r="B791" t="s">
        <v>221</v>
      </c>
      <c r="C791" t="s">
        <v>216</v>
      </c>
      <c r="D791" s="12">
        <v>153.9</v>
      </c>
      <c r="E791" s="11">
        <v>0.0591878871300757</v>
      </c>
    </row>
    <row r="792" spans="1:5">
      <c r="A792" s="13">
        <v>44927</v>
      </c>
      <c r="B792" t="s">
        <v>221</v>
      </c>
      <c r="C792" t="s">
        <v>220</v>
      </c>
      <c r="D792" s="12">
        <v>166.8</v>
      </c>
      <c r="E792" s="11">
        <v>0.127027027027027</v>
      </c>
    </row>
    <row r="793" spans="1:5">
      <c r="A793" s="13">
        <v>44927</v>
      </c>
      <c r="B793" t="s">
        <v>221</v>
      </c>
      <c r="C793" t="s">
        <v>219</v>
      </c>
      <c r="D793" s="12">
        <v>203.1</v>
      </c>
      <c r="E793" s="11">
        <v>0.0729001584786053</v>
      </c>
    </row>
    <row r="794" spans="1:5">
      <c r="A794" s="13">
        <v>44927</v>
      </c>
      <c r="B794" t="s">
        <v>221</v>
      </c>
      <c r="C794" t="s">
        <v>214</v>
      </c>
      <c r="D794" s="12">
        <v>179.9</v>
      </c>
      <c r="E794" s="11">
        <v>0.1139318885448916</v>
      </c>
    </row>
    <row r="795" spans="1:5">
      <c r="A795" s="13">
        <v>44927</v>
      </c>
      <c r="B795" t="s">
        <v>213</v>
      </c>
      <c r="C795" t="s">
        <v>214</v>
      </c>
      <c r="D795" s="12">
        <v>183.8</v>
      </c>
      <c r="E795" s="11">
        <v>0.1105740181268883</v>
      </c>
    </row>
    <row r="796" spans="1:5">
      <c r="A796" s="13">
        <v>44927</v>
      </c>
      <c r="B796" t="s">
        <v>221</v>
      </c>
      <c r="C796" t="s">
        <v>218</v>
      </c>
      <c r="D796" s="12">
        <v>189.1</v>
      </c>
      <c r="E796" s="11">
        <v>0.1467556094602788</v>
      </c>
    </row>
    <row r="797" spans="1:5">
      <c r="A797" s="13">
        <v>44927</v>
      </c>
      <c r="B797" t="s">
        <v>213</v>
      </c>
      <c r="C797" t="s">
        <v>219</v>
      </c>
      <c r="D797" s="12">
        <v>201.7</v>
      </c>
      <c r="E797" s="11">
        <v>0.0734433209153804</v>
      </c>
    </row>
    <row r="798" spans="1:5">
      <c r="A798" s="13">
        <v>44958</v>
      </c>
      <c r="B798" t="s">
        <v>221</v>
      </c>
      <c r="C798" t="s">
        <v>218</v>
      </c>
      <c r="D798" s="12">
        <v>191.6</v>
      </c>
      <c r="E798" s="11">
        <v>0.1431980906921242</v>
      </c>
    </row>
    <row r="799" spans="1:5">
      <c r="A799" s="13">
        <v>44958</v>
      </c>
      <c r="B799" t="s">
        <v>221</v>
      </c>
      <c r="C799" t="s">
        <v>216</v>
      </c>
      <c r="D799" s="12">
        <v>154.5</v>
      </c>
      <c r="E799" s="11">
        <v>0.0524523160762941</v>
      </c>
    </row>
    <row r="800" spans="1:5">
      <c r="A800" s="13">
        <v>44958</v>
      </c>
      <c r="B800" t="s">
        <v>221</v>
      </c>
      <c r="C800" t="s">
        <v>217</v>
      </c>
      <c r="D800" s="12">
        <v>182</v>
      </c>
      <c r="E800" s="11">
        <v>0.1206896551724137</v>
      </c>
    </row>
    <row r="801" spans="1:5">
      <c r="A801" s="13">
        <v>44958</v>
      </c>
      <c r="B801" t="s">
        <v>213</v>
      </c>
      <c r="C801" t="s">
        <v>216</v>
      </c>
      <c r="D801" s="12">
        <v>156.4</v>
      </c>
      <c r="E801" s="11">
        <v>0.0510752688172042</v>
      </c>
    </row>
    <row r="802" spans="1:5">
      <c r="A802" s="13">
        <v>44958</v>
      </c>
      <c r="B802" t="s">
        <v>213</v>
      </c>
      <c r="C802" t="s">
        <v>214</v>
      </c>
      <c r="D802" s="12">
        <v>185.2</v>
      </c>
      <c r="E802" s="11">
        <v>0.1030375223347228</v>
      </c>
    </row>
    <row r="803" spans="1:5">
      <c r="A803" s="13">
        <v>44958</v>
      </c>
      <c r="B803" t="s">
        <v>221</v>
      </c>
      <c r="C803" t="s">
        <v>219</v>
      </c>
      <c r="D803" s="12">
        <v>201</v>
      </c>
      <c r="E803" s="11">
        <v>0.0618066561014263</v>
      </c>
    </row>
    <row r="804" spans="1:5">
      <c r="A804" s="13">
        <v>44958</v>
      </c>
      <c r="B804" t="s">
        <v>213</v>
      </c>
      <c r="C804" t="s">
        <v>219</v>
      </c>
      <c r="D804" s="12">
        <v>199.2</v>
      </c>
      <c r="E804" s="11">
        <v>0.0495258166491041</v>
      </c>
    </row>
    <row r="805" spans="1:5">
      <c r="A805" s="13">
        <v>44958</v>
      </c>
      <c r="B805" t="s">
        <v>221</v>
      </c>
      <c r="C805" t="s">
        <v>214</v>
      </c>
      <c r="D805" s="12">
        <v>181.2</v>
      </c>
      <c r="E805" s="11">
        <v>0.1055521659548504</v>
      </c>
    </row>
    <row r="806" spans="1:5">
      <c r="A806" s="13">
        <v>44958</v>
      </c>
      <c r="B806" t="s">
        <v>213</v>
      </c>
      <c r="C806" t="s">
        <v>218</v>
      </c>
      <c r="D806" s="12">
        <v>200.6</v>
      </c>
      <c r="E806" s="11">
        <v>0.143019943019943</v>
      </c>
    </row>
    <row r="807" spans="1:5">
      <c r="A807" s="13">
        <v>44958</v>
      </c>
      <c r="B807" t="s">
        <v>221</v>
      </c>
      <c r="C807" t="s">
        <v>220</v>
      </c>
      <c r="D807" s="12">
        <v>167.7</v>
      </c>
      <c r="E807" s="11">
        <v>0.0960784313725489</v>
      </c>
    </row>
    <row r="808" spans="1:5">
      <c r="A808" s="13">
        <v>44958</v>
      </c>
      <c r="B808" t="s">
        <v>213</v>
      </c>
      <c r="C808" t="s">
        <v>217</v>
      </c>
      <c r="D808" s="12">
        <v>185.2</v>
      </c>
      <c r="E808" s="11">
        <v>0.1224242424242423</v>
      </c>
    </row>
    <row r="809" spans="1:5">
      <c r="A809" s="13">
        <v>44958</v>
      </c>
      <c r="B809" t="s">
        <v>215</v>
      </c>
      <c r="C809" t="s">
        <v>216</v>
      </c>
      <c r="D809" s="12">
        <v>157.4</v>
      </c>
      <c r="E809" s="11">
        <v>0.0507343124165553</v>
      </c>
    </row>
    <row r="810" spans="1:5">
      <c r="A810" s="13">
        <v>44958</v>
      </c>
      <c r="B810" t="s">
        <v>213</v>
      </c>
      <c r="C810" t="s">
        <v>220</v>
      </c>
      <c r="D810" s="12">
        <v>174</v>
      </c>
      <c r="E810" s="11">
        <v>0.1033608116677236</v>
      </c>
    </row>
    <row r="811" spans="1:5">
      <c r="A811" s="13">
        <v>44986</v>
      </c>
      <c r="B811" t="s">
        <v>221</v>
      </c>
      <c r="C811" t="s">
        <v>216</v>
      </c>
      <c r="D811" s="12">
        <v>155.3</v>
      </c>
      <c r="E811" s="11">
        <v>0.0429818670248489</v>
      </c>
    </row>
    <row r="812" spans="1:5">
      <c r="A812" s="13">
        <v>44986</v>
      </c>
      <c r="B812" t="s">
        <v>221</v>
      </c>
      <c r="C812" t="s">
        <v>214</v>
      </c>
      <c r="D812" s="12">
        <v>181.7</v>
      </c>
      <c r="E812" s="11">
        <v>0.0965600482800241</v>
      </c>
    </row>
    <row r="813" spans="1:5">
      <c r="A813" s="13">
        <v>44986</v>
      </c>
      <c r="B813" t="s">
        <v>221</v>
      </c>
      <c r="C813" t="s">
        <v>219</v>
      </c>
      <c r="D813" s="12">
        <v>200.4</v>
      </c>
      <c r="E813" s="11">
        <v>0.06595744680851059</v>
      </c>
    </row>
    <row r="814" spans="1:5">
      <c r="A814" s="13">
        <v>44986</v>
      </c>
      <c r="B814" t="s">
        <v>221</v>
      </c>
      <c r="C814" t="s">
        <v>220</v>
      </c>
      <c r="D814" s="12">
        <v>169.5</v>
      </c>
      <c r="E814" s="11">
        <v>0.0782442748091603</v>
      </c>
    </row>
    <row r="815" spans="1:5">
      <c r="A815" s="13">
        <v>44986</v>
      </c>
      <c r="B815" t="s">
        <v>221</v>
      </c>
      <c r="C815" t="s">
        <v>218</v>
      </c>
      <c r="D815" s="12">
        <v>195.4</v>
      </c>
      <c r="E815" s="11">
        <v>0.1347270615563298</v>
      </c>
    </row>
    <row r="816" spans="1:5">
      <c r="A816" s="13">
        <v>44986</v>
      </c>
      <c r="B816" t="s">
        <v>221</v>
      </c>
      <c r="C816" t="s">
        <v>217</v>
      </c>
      <c r="D816" s="12">
        <v>175.3</v>
      </c>
      <c r="E816" s="11">
        <v>0.09085252022402</v>
      </c>
    </row>
    <row r="817" spans="1:5">
      <c r="A817" s="13">
        <v>44986</v>
      </c>
      <c r="B817" t="s">
        <v>213</v>
      </c>
      <c r="C817" t="s">
        <v>216</v>
      </c>
      <c r="D817" s="12">
        <v>157.3</v>
      </c>
      <c r="E817" s="11">
        <v>0.0431034482758621</v>
      </c>
    </row>
    <row r="818" spans="1:5">
      <c r="A818" s="13">
        <v>44986</v>
      </c>
      <c r="B818" t="s">
        <v>213</v>
      </c>
      <c r="C818" t="s">
        <v>217</v>
      </c>
      <c r="D818" s="12">
        <v>177.2</v>
      </c>
      <c r="E818" s="11">
        <v>0.0897908979089789</v>
      </c>
    </row>
    <row r="819" spans="1:5">
      <c r="A819" s="13">
        <v>44986</v>
      </c>
      <c r="B819" t="s">
        <v>213</v>
      </c>
      <c r="C819" t="s">
        <v>219</v>
      </c>
      <c r="D819" s="12">
        <v>200.2</v>
      </c>
      <c r="E819" s="11">
        <v>0.0570221752903905</v>
      </c>
    </row>
    <row r="820" spans="1:5">
      <c r="A820" s="13">
        <v>44986</v>
      </c>
      <c r="B820" t="s">
        <v>213</v>
      </c>
      <c r="C820" t="s">
        <v>214</v>
      </c>
      <c r="D820" s="12">
        <v>186.1</v>
      </c>
      <c r="E820" s="11">
        <v>0.09535020600353129</v>
      </c>
    </row>
    <row r="821" spans="1:5">
      <c r="A821" s="13">
        <v>44986</v>
      </c>
      <c r="B821" t="s">
        <v>213</v>
      </c>
      <c r="C821" t="s">
        <v>218</v>
      </c>
      <c r="D821" s="12">
        <v>205.4</v>
      </c>
      <c r="E821" s="11">
        <v>0.1373200442967885</v>
      </c>
    </row>
    <row r="822" spans="1:5">
      <c r="A822" s="13">
        <v>44986</v>
      </c>
      <c r="B822" t="s">
        <v>213</v>
      </c>
      <c r="C822" t="s">
        <v>220</v>
      </c>
      <c r="D822" s="12">
        <v>177.6</v>
      </c>
      <c r="E822" s="11">
        <v>0.071170084439083</v>
      </c>
    </row>
    <row r="823" spans="1:5">
      <c r="A823" s="13">
        <v>44986</v>
      </c>
      <c r="B823" t="s">
        <v>215</v>
      </c>
      <c r="C823" t="s">
        <v>216</v>
      </c>
      <c r="D823" s="12">
        <v>158.5</v>
      </c>
      <c r="E823" s="11">
        <v>0.044825313117996</v>
      </c>
    </row>
    <row r="824" spans="1:5">
      <c r="A824" s="13">
        <v>45017</v>
      </c>
      <c r="B824" t="s">
        <v>221</v>
      </c>
      <c r="C824" t="s">
        <v>216</v>
      </c>
      <c r="D824" s="12">
        <v>156.4</v>
      </c>
      <c r="E824" s="11">
        <v>0.0440587449933242</v>
      </c>
    </row>
    <row r="825" spans="1:5">
      <c r="A825" s="13">
        <v>45017</v>
      </c>
      <c r="B825" t="s">
        <v>215</v>
      </c>
      <c r="C825" t="s">
        <v>216</v>
      </c>
      <c r="D825" s="12">
        <v>158.9</v>
      </c>
      <c r="E825" s="11">
        <v>0.0412844036697248</v>
      </c>
    </row>
    <row r="826" spans="1:5">
      <c r="A826" s="13">
        <v>45017</v>
      </c>
      <c r="B826" t="s">
        <v>213</v>
      </c>
      <c r="C826" t="s">
        <v>217</v>
      </c>
      <c r="D826" s="12">
        <v>175.1</v>
      </c>
      <c r="E826" s="11">
        <v>0.08960796515245791</v>
      </c>
    </row>
    <row r="827" spans="1:5">
      <c r="A827" s="13">
        <v>45017</v>
      </c>
      <c r="B827" t="s">
        <v>213</v>
      </c>
      <c r="C827" t="s">
        <v>220</v>
      </c>
      <c r="D827" s="12">
        <v>174.4</v>
      </c>
      <c r="E827" s="11">
        <v>0.06601466992665039</v>
      </c>
    </row>
    <row r="828" spans="1:5">
      <c r="A828" s="13">
        <v>45017</v>
      </c>
      <c r="B828" t="s">
        <v>213</v>
      </c>
      <c r="C828" t="s">
        <v>214</v>
      </c>
      <c r="D828" s="12">
        <v>185.9</v>
      </c>
      <c r="E828" s="11">
        <v>0.090962441314554</v>
      </c>
    </row>
    <row r="829" spans="1:5">
      <c r="A829" s="13">
        <v>45017</v>
      </c>
      <c r="B829" t="s">
        <v>213</v>
      </c>
      <c r="C829" t="s">
        <v>218</v>
      </c>
      <c r="D829" s="12">
        <v>207</v>
      </c>
      <c r="E829" s="11">
        <v>0.140495867768595</v>
      </c>
    </row>
    <row r="830" spans="1:5">
      <c r="A830" s="13">
        <v>45017</v>
      </c>
      <c r="B830" t="s">
        <v>221</v>
      </c>
      <c r="C830" t="s">
        <v>217</v>
      </c>
      <c r="D830" s="12">
        <v>172.8</v>
      </c>
      <c r="E830" s="11">
        <v>0.0861093651791327</v>
      </c>
    </row>
    <row r="831" spans="1:5">
      <c r="A831" s="13">
        <v>45017</v>
      </c>
      <c r="B831" t="s">
        <v>221</v>
      </c>
      <c r="C831" t="s">
        <v>218</v>
      </c>
      <c r="D831" s="12">
        <v>196.7</v>
      </c>
      <c r="E831" s="11">
        <v>0.1317606444188721</v>
      </c>
    </row>
    <row r="832" spans="1:5">
      <c r="A832" s="13">
        <v>45017</v>
      </c>
      <c r="B832" t="s">
        <v>221</v>
      </c>
      <c r="C832" t="s">
        <v>220</v>
      </c>
      <c r="D832" s="12">
        <v>168.7</v>
      </c>
      <c r="E832" s="11">
        <v>0.07043147208121819</v>
      </c>
    </row>
    <row r="833" spans="1:5">
      <c r="A833" s="13">
        <v>45017</v>
      </c>
      <c r="B833" t="s">
        <v>221</v>
      </c>
      <c r="C833" t="s">
        <v>219</v>
      </c>
      <c r="D833" s="12">
        <v>203.9</v>
      </c>
      <c r="E833" s="11">
        <v>0.0669806384092099</v>
      </c>
    </row>
    <row r="834" spans="1:5">
      <c r="A834" s="13">
        <v>45017</v>
      </c>
      <c r="B834" t="s">
        <v>221</v>
      </c>
      <c r="C834" t="s">
        <v>214</v>
      </c>
      <c r="D834" s="12">
        <v>182</v>
      </c>
      <c r="E834" s="11">
        <v>0.0911270983213428</v>
      </c>
    </row>
    <row r="835" spans="1:5">
      <c r="A835" s="13">
        <v>45017</v>
      </c>
      <c r="B835" t="s">
        <v>213</v>
      </c>
      <c r="C835" t="s">
        <v>216</v>
      </c>
      <c r="D835" s="12">
        <v>157.9</v>
      </c>
      <c r="E835" s="11">
        <v>0.04155672823219</v>
      </c>
    </row>
    <row r="836" spans="1:5">
      <c r="A836" s="13">
        <v>45017</v>
      </c>
      <c r="B836" t="s">
        <v>213</v>
      </c>
      <c r="C836" t="s">
        <v>219</v>
      </c>
      <c r="D836" s="12">
        <v>202.2</v>
      </c>
      <c r="E836" s="11">
        <v>0.0564263322884011</v>
      </c>
    </row>
    <row r="837" spans="1:5">
      <c r="A837" s="13">
        <v>45047</v>
      </c>
      <c r="B837" t="s">
        <v>221</v>
      </c>
      <c r="C837" t="s">
        <v>217</v>
      </c>
      <c r="D837" s="12">
        <v>177.3</v>
      </c>
      <c r="E837" s="11">
        <v>0.0745454545454546</v>
      </c>
    </row>
    <row r="838" spans="1:5">
      <c r="A838" s="13">
        <v>45047</v>
      </c>
      <c r="B838" t="s">
        <v>221</v>
      </c>
      <c r="C838" t="s">
        <v>216</v>
      </c>
      <c r="D838" s="12">
        <v>157</v>
      </c>
      <c r="E838" s="11">
        <v>0.0335747202106648</v>
      </c>
    </row>
    <row r="839" spans="1:5">
      <c r="A839" s="13">
        <v>45047</v>
      </c>
      <c r="B839" t="s">
        <v>221</v>
      </c>
      <c r="C839" t="s">
        <v>214</v>
      </c>
      <c r="D839" s="12">
        <v>183.7</v>
      </c>
      <c r="E839" s="11">
        <v>0.0902077151335309</v>
      </c>
    </row>
    <row r="840" spans="1:5">
      <c r="A840" s="13">
        <v>45047</v>
      </c>
      <c r="B840" t="s">
        <v>221</v>
      </c>
      <c r="C840" t="s">
        <v>219</v>
      </c>
      <c r="D840" s="12">
        <v>203.2</v>
      </c>
      <c r="E840" s="11">
        <v>0.0627615062761506</v>
      </c>
    </row>
    <row r="841" spans="1:5">
      <c r="A841" s="13">
        <v>45047</v>
      </c>
      <c r="B841" t="s">
        <v>221</v>
      </c>
      <c r="C841" t="s">
        <v>220</v>
      </c>
      <c r="D841" s="12">
        <v>170.2</v>
      </c>
      <c r="E841" s="11">
        <v>0.07585335018963341</v>
      </c>
    </row>
    <row r="842" spans="1:5">
      <c r="A842" s="13">
        <v>45047</v>
      </c>
      <c r="B842" t="s">
        <v>221</v>
      </c>
      <c r="C842" t="s">
        <v>218</v>
      </c>
      <c r="D842" s="12">
        <v>198.9</v>
      </c>
      <c r="E842" s="11">
        <v>0.1444188722669734</v>
      </c>
    </row>
    <row r="843" spans="1:5">
      <c r="A843" s="13">
        <v>45047</v>
      </c>
      <c r="B843" t="s">
        <v>213</v>
      </c>
      <c r="C843" t="s">
        <v>216</v>
      </c>
      <c r="D843" s="12">
        <v>158.5</v>
      </c>
      <c r="E843" s="11">
        <v>0.0312296681847756</v>
      </c>
    </row>
    <row r="844" spans="1:5">
      <c r="A844" s="13">
        <v>45047</v>
      </c>
      <c r="B844" t="s">
        <v>213</v>
      </c>
      <c r="C844" t="s">
        <v>219</v>
      </c>
      <c r="D844" s="12">
        <v>202.5</v>
      </c>
      <c r="E844" s="11">
        <v>0.049222797927461</v>
      </c>
    </row>
    <row r="845" spans="1:5">
      <c r="A845" s="13">
        <v>45047</v>
      </c>
      <c r="B845" t="s">
        <v>213</v>
      </c>
      <c r="C845" t="s">
        <v>220</v>
      </c>
      <c r="D845" s="12">
        <v>177.7</v>
      </c>
      <c r="E845" s="11">
        <v>0.0782766990291261</v>
      </c>
    </row>
    <row r="846" spans="1:5">
      <c r="A846" s="13">
        <v>45047</v>
      </c>
      <c r="B846" t="s">
        <v>213</v>
      </c>
      <c r="C846" t="s">
        <v>218</v>
      </c>
      <c r="D846" s="12">
        <v>208.8</v>
      </c>
      <c r="E846" s="11">
        <v>0.1453647833241909</v>
      </c>
    </row>
    <row r="847" spans="1:5">
      <c r="A847" s="13">
        <v>45047</v>
      </c>
      <c r="B847" t="s">
        <v>213</v>
      </c>
      <c r="C847" t="s">
        <v>217</v>
      </c>
      <c r="D847" s="12">
        <v>179.1</v>
      </c>
      <c r="E847" s="11">
        <v>0.07438512297540489</v>
      </c>
    </row>
    <row r="848" spans="1:5">
      <c r="A848" s="13">
        <v>45047</v>
      </c>
      <c r="B848" t="s">
        <v>215</v>
      </c>
      <c r="C848" t="s">
        <v>216</v>
      </c>
      <c r="D848" s="12">
        <v>159.8</v>
      </c>
      <c r="E848" s="11">
        <v>0.0349740932642488</v>
      </c>
    </row>
    <row r="849" spans="1:5">
      <c r="A849" s="13">
        <v>45047</v>
      </c>
      <c r="B849" t="s">
        <v>213</v>
      </c>
      <c r="C849" t="s">
        <v>214</v>
      </c>
      <c r="D849" s="12">
        <v>187.7</v>
      </c>
      <c r="E849" s="11">
        <v>0.0874855156431053</v>
      </c>
    </row>
    <row r="850" spans="1:5">
      <c r="A850" s="13">
        <v>45078</v>
      </c>
      <c r="B850" t="s">
        <v>215</v>
      </c>
      <c r="C850" t="s">
        <v>216</v>
      </c>
      <c r="D850" s="12">
        <v>159.7</v>
      </c>
      <c r="E850" s="11">
        <v>0.0309877340219495</v>
      </c>
    </row>
    <row r="851" spans="1:5">
      <c r="A851" s="13">
        <v>45078</v>
      </c>
      <c r="B851" t="s">
        <v>213</v>
      </c>
      <c r="C851" t="s">
        <v>217</v>
      </c>
      <c r="D851" s="12">
        <v>180.3</v>
      </c>
      <c r="E851" s="11">
        <v>0.0867992766726943</v>
      </c>
    </row>
    <row r="852" spans="1:5">
      <c r="A852" s="13">
        <v>45078</v>
      </c>
      <c r="B852" t="s">
        <v>213</v>
      </c>
      <c r="C852" t="s">
        <v>218</v>
      </c>
      <c r="D852" s="12">
        <v>207.3</v>
      </c>
      <c r="E852" s="11">
        <v>0.135890410958904</v>
      </c>
    </row>
    <row r="853" spans="1:5">
      <c r="A853" s="13">
        <v>45078</v>
      </c>
      <c r="B853" t="s">
        <v>213</v>
      </c>
      <c r="C853" t="s">
        <v>220</v>
      </c>
      <c r="D853" s="12">
        <v>176</v>
      </c>
      <c r="E853" s="11">
        <v>0.08108108108108091</v>
      </c>
    </row>
    <row r="854" spans="1:5">
      <c r="A854" s="13">
        <v>45078</v>
      </c>
      <c r="B854" t="s">
        <v>213</v>
      </c>
      <c r="C854" t="s">
        <v>219</v>
      </c>
      <c r="D854" s="12">
        <v>200.4</v>
      </c>
      <c r="E854" s="11">
        <v>0.0378042465044019</v>
      </c>
    </row>
    <row r="855" spans="1:5">
      <c r="A855" s="13">
        <v>45078</v>
      </c>
      <c r="B855" t="s">
        <v>213</v>
      </c>
      <c r="C855" t="s">
        <v>214</v>
      </c>
      <c r="D855" s="12">
        <v>186.9</v>
      </c>
      <c r="E855" s="11">
        <v>0.08536585365853661</v>
      </c>
    </row>
    <row r="856" spans="1:5">
      <c r="A856" s="13">
        <v>45078</v>
      </c>
      <c r="B856" t="s">
        <v>221</v>
      </c>
      <c r="C856" t="s">
        <v>217</v>
      </c>
      <c r="D856" s="12">
        <v>178.6</v>
      </c>
      <c r="E856" s="11">
        <v>0.0916870415647921</v>
      </c>
    </row>
    <row r="857" spans="1:5">
      <c r="A857" s="13">
        <v>45078</v>
      </c>
      <c r="B857" t="s">
        <v>221</v>
      </c>
      <c r="C857" t="s">
        <v>218</v>
      </c>
      <c r="D857" s="12">
        <v>197.7</v>
      </c>
      <c r="E857" s="11">
        <v>0.1264957264957265</v>
      </c>
    </row>
    <row r="858" spans="1:5">
      <c r="A858" s="13">
        <v>45078</v>
      </c>
      <c r="B858" t="s">
        <v>221</v>
      </c>
      <c r="C858" t="s">
        <v>220</v>
      </c>
      <c r="D858" s="12">
        <v>169.8</v>
      </c>
      <c r="E858" s="11">
        <v>0.0760456273764258</v>
      </c>
    </row>
    <row r="859" spans="1:5">
      <c r="A859" s="13">
        <v>45078</v>
      </c>
      <c r="B859" t="s">
        <v>221</v>
      </c>
      <c r="C859" t="s">
        <v>219</v>
      </c>
      <c r="D859" s="12">
        <v>204</v>
      </c>
      <c r="E859" s="11">
        <v>0.0691823899371069</v>
      </c>
    </row>
    <row r="860" spans="1:5">
      <c r="A860" s="13">
        <v>45078</v>
      </c>
      <c r="B860" t="s">
        <v>221</v>
      </c>
      <c r="C860" t="s">
        <v>214</v>
      </c>
      <c r="D860" s="12">
        <v>183.6</v>
      </c>
      <c r="E860" s="11">
        <v>0.0909090909090908</v>
      </c>
    </row>
    <row r="861" spans="1:5">
      <c r="A861" s="13">
        <v>45078</v>
      </c>
      <c r="B861" t="s">
        <v>221</v>
      </c>
      <c r="C861" t="s">
        <v>216</v>
      </c>
      <c r="D861" s="12">
        <v>157.2</v>
      </c>
      <c r="E861" s="11">
        <v>0.02812295618051</v>
      </c>
    </row>
    <row r="862" spans="1:5">
      <c r="A862" s="13">
        <v>45078</v>
      </c>
      <c r="B862" t="s">
        <v>213</v>
      </c>
      <c r="C862" t="s">
        <v>216</v>
      </c>
      <c r="D862" s="12">
        <v>158.4</v>
      </c>
      <c r="E862" s="11">
        <v>0.0259067357512954</v>
      </c>
    </row>
    <row r="863" spans="1:5">
      <c r="A863" s="13">
        <v>45108</v>
      </c>
      <c r="B863" t="s">
        <v>221</v>
      </c>
      <c r="C863" t="s">
        <v>216</v>
      </c>
      <c r="D863" s="12">
        <v>158.1</v>
      </c>
      <c r="E863" s="11">
        <v>0.0326583932070541</v>
      </c>
    </row>
    <row r="864" spans="1:5">
      <c r="A864" s="13">
        <v>45108</v>
      </c>
      <c r="B864" t="s">
        <v>221</v>
      </c>
      <c r="C864" t="s">
        <v>214</v>
      </c>
      <c r="D864" s="12">
        <v>184.1</v>
      </c>
      <c r="E864" s="11">
        <v>0.08485562757807889</v>
      </c>
    </row>
    <row r="865" spans="1:5">
      <c r="A865" s="13">
        <v>45108</v>
      </c>
      <c r="B865" t="s">
        <v>221</v>
      </c>
      <c r="C865" t="s">
        <v>219</v>
      </c>
      <c r="D865" s="12">
        <v>206.7</v>
      </c>
      <c r="E865" s="11">
        <v>0.0765624999999998</v>
      </c>
    </row>
    <row r="866" spans="1:5">
      <c r="A866" s="13">
        <v>45108</v>
      </c>
      <c r="B866" t="s">
        <v>221</v>
      </c>
      <c r="C866" t="s">
        <v>218</v>
      </c>
      <c r="D866" s="12">
        <v>199.3</v>
      </c>
      <c r="E866" s="11">
        <v>0.1152770005595973</v>
      </c>
    </row>
    <row r="867" spans="1:5">
      <c r="A867" s="13">
        <v>45108</v>
      </c>
      <c r="B867" t="s">
        <v>221</v>
      </c>
      <c r="C867" t="s">
        <v>217</v>
      </c>
      <c r="D867" s="12">
        <v>174.7</v>
      </c>
      <c r="E867" s="11">
        <v>0.0685015290519877</v>
      </c>
    </row>
    <row r="868" spans="1:5">
      <c r="A868" s="13">
        <v>45108</v>
      </c>
      <c r="B868" t="s">
        <v>213</v>
      </c>
      <c r="C868" t="s">
        <v>216</v>
      </c>
      <c r="D868" s="12">
        <v>159.6</v>
      </c>
      <c r="E868" s="11">
        <v>0.0323415265200517</v>
      </c>
    </row>
    <row r="869" spans="1:5">
      <c r="A869" s="13">
        <v>45108</v>
      </c>
      <c r="B869" t="s">
        <v>213</v>
      </c>
      <c r="C869" t="s">
        <v>214</v>
      </c>
      <c r="D869" s="12">
        <v>187.4</v>
      </c>
      <c r="E869" s="11">
        <v>0.0807381776239908</v>
      </c>
    </row>
    <row r="870" spans="1:5">
      <c r="A870" s="13">
        <v>45108</v>
      </c>
      <c r="B870" t="s">
        <v>213</v>
      </c>
      <c r="C870" t="s">
        <v>219</v>
      </c>
      <c r="D870" s="12">
        <v>204.1</v>
      </c>
      <c r="E870" s="11">
        <v>0.0575129533678755</v>
      </c>
    </row>
    <row r="871" spans="1:5">
      <c r="A871" s="13">
        <v>45108</v>
      </c>
      <c r="B871" t="s">
        <v>213</v>
      </c>
      <c r="C871" t="s">
        <v>220</v>
      </c>
      <c r="D871" s="12">
        <v>177.1</v>
      </c>
      <c r="E871" s="11">
        <v>0.07203389830508471</v>
      </c>
    </row>
    <row r="872" spans="1:5">
      <c r="A872" s="13">
        <v>45108</v>
      </c>
      <c r="B872" t="s">
        <v>213</v>
      </c>
      <c r="C872" t="s">
        <v>218</v>
      </c>
      <c r="D872" s="12">
        <v>208.7</v>
      </c>
      <c r="E872" s="11">
        <v>0.1154462854088722</v>
      </c>
    </row>
    <row r="873" spans="1:5">
      <c r="A873" s="13">
        <v>45108</v>
      </c>
      <c r="B873" t="s">
        <v>213</v>
      </c>
      <c r="C873" t="s">
        <v>217</v>
      </c>
      <c r="D873" s="12">
        <v>175.1</v>
      </c>
      <c r="E873" s="11">
        <v>0.0548192771084337</v>
      </c>
    </row>
    <row r="874" spans="1:5">
      <c r="A874" s="13">
        <v>45108</v>
      </c>
      <c r="B874" t="s">
        <v>215</v>
      </c>
      <c r="C874" t="s">
        <v>216</v>
      </c>
      <c r="D874" s="12">
        <v>161.1</v>
      </c>
      <c r="E874" s="11">
        <v>0.0366795366795364</v>
      </c>
    </row>
    <row r="875" spans="1:5">
      <c r="A875" s="13">
        <v>45108</v>
      </c>
      <c r="B875" t="s">
        <v>221</v>
      </c>
      <c r="C875" t="s">
        <v>220</v>
      </c>
      <c r="D875" s="12">
        <v>170.8</v>
      </c>
      <c r="E875" s="11">
        <v>0.0715181932245923</v>
      </c>
    </row>
    <row r="876" spans="1:5">
      <c r="A876" s="13">
        <v>45139</v>
      </c>
      <c r="B876" t="s">
        <v>215</v>
      </c>
      <c r="C876" t="s">
        <v>216</v>
      </c>
      <c r="D876" s="12">
        <v>161.4</v>
      </c>
      <c r="E876" s="11">
        <v>0.0426356589147285</v>
      </c>
    </row>
    <row r="877" spans="1:5">
      <c r="A877" s="13">
        <v>45139</v>
      </c>
      <c r="B877" t="s">
        <v>213</v>
      </c>
      <c r="C877" t="s">
        <v>217</v>
      </c>
      <c r="D877" s="12">
        <v>172.1</v>
      </c>
      <c r="E877" s="11">
        <v>0.0367469879518072</v>
      </c>
    </row>
    <row r="878" spans="1:5">
      <c r="A878" s="13">
        <v>45139</v>
      </c>
      <c r="B878" t="s">
        <v>213</v>
      </c>
      <c r="C878" t="s">
        <v>218</v>
      </c>
      <c r="D878" s="12">
        <v>207.3</v>
      </c>
      <c r="E878" s="11">
        <v>0.0864779874213836</v>
      </c>
    </row>
    <row r="879" spans="1:5">
      <c r="A879" s="13">
        <v>45139</v>
      </c>
      <c r="B879" t="s">
        <v>213</v>
      </c>
      <c r="C879" t="s">
        <v>220</v>
      </c>
      <c r="D879" s="12">
        <v>174.8</v>
      </c>
      <c r="E879" s="11">
        <v>0.0600363856882959</v>
      </c>
    </row>
    <row r="880" spans="1:5">
      <c r="A880" s="13">
        <v>45139</v>
      </c>
      <c r="B880" t="s">
        <v>213</v>
      </c>
      <c r="C880" t="s">
        <v>219</v>
      </c>
      <c r="D880" s="12">
        <v>205.4</v>
      </c>
      <c r="E880" s="11">
        <v>0.0474247832738399</v>
      </c>
    </row>
    <row r="881" spans="1:5">
      <c r="A881" s="13">
        <v>45139</v>
      </c>
      <c r="B881" t="s">
        <v>213</v>
      </c>
      <c r="C881" t="s">
        <v>214</v>
      </c>
      <c r="D881" s="12">
        <v>186.8</v>
      </c>
      <c r="E881" s="11">
        <v>0.06621004566210061</v>
      </c>
    </row>
    <row r="882" spans="1:5">
      <c r="A882" s="13">
        <v>45139</v>
      </c>
      <c r="B882" t="s">
        <v>221</v>
      </c>
      <c r="C882" t="s">
        <v>217</v>
      </c>
      <c r="D882" s="12">
        <v>171.1</v>
      </c>
      <c r="E882" s="11">
        <v>0.0477648499693814</v>
      </c>
    </row>
    <row r="883" spans="1:5">
      <c r="A883" s="13">
        <v>45139</v>
      </c>
      <c r="B883" t="s">
        <v>221</v>
      </c>
      <c r="C883" t="s">
        <v>218</v>
      </c>
      <c r="D883" s="12">
        <v>197.9</v>
      </c>
      <c r="E883" s="11">
        <v>0.0849780701754385</v>
      </c>
    </row>
    <row r="884" spans="1:5">
      <c r="A884" s="13">
        <v>45139</v>
      </c>
      <c r="B884" t="s">
        <v>221</v>
      </c>
      <c r="C884" t="s">
        <v>220</v>
      </c>
      <c r="D884" s="12">
        <v>168.8</v>
      </c>
      <c r="E884" s="11">
        <v>0.0589711417816813</v>
      </c>
    </row>
    <row r="885" spans="1:5">
      <c r="A885" s="13">
        <v>45139</v>
      </c>
      <c r="B885" t="s">
        <v>221</v>
      </c>
      <c r="C885" t="s">
        <v>219</v>
      </c>
      <c r="D885" s="12">
        <v>206.6</v>
      </c>
      <c r="E885" s="11">
        <v>0.06549767921609061</v>
      </c>
    </row>
    <row r="886" spans="1:5">
      <c r="A886" s="13">
        <v>45139</v>
      </c>
      <c r="B886" t="s">
        <v>221</v>
      </c>
      <c r="C886" t="s">
        <v>214</v>
      </c>
      <c r="D886" s="12">
        <v>183.3</v>
      </c>
      <c r="E886" s="11">
        <v>0.0694282380396733</v>
      </c>
    </row>
    <row r="887" spans="1:5">
      <c r="A887" s="13">
        <v>45139</v>
      </c>
      <c r="B887" t="s">
        <v>221</v>
      </c>
      <c r="C887" t="s">
        <v>216</v>
      </c>
      <c r="D887" s="12">
        <v>158.7</v>
      </c>
      <c r="E887" s="11">
        <v>0.0399737876802097</v>
      </c>
    </row>
    <row r="888" spans="1:5">
      <c r="A888" s="13">
        <v>45139</v>
      </c>
      <c r="B888" t="s">
        <v>213</v>
      </c>
      <c r="C888" t="s">
        <v>216</v>
      </c>
      <c r="D888" s="12">
        <v>159.9</v>
      </c>
      <c r="E888" s="11">
        <v>0.037637897469176</v>
      </c>
    </row>
    <row r="889" spans="1:5">
      <c r="A889" s="13">
        <v>45170</v>
      </c>
      <c r="B889" t="s">
        <v>213</v>
      </c>
      <c r="C889" t="s">
        <v>220</v>
      </c>
      <c r="D889" s="12">
        <v>175.3</v>
      </c>
      <c r="E889" s="11">
        <v>0.0348288075560803</v>
      </c>
    </row>
    <row r="890" spans="1:5">
      <c r="A890" s="13">
        <v>45170</v>
      </c>
      <c r="B890" t="s">
        <v>215</v>
      </c>
      <c r="C890" t="s">
        <v>216</v>
      </c>
      <c r="D890" s="12">
        <v>161.3</v>
      </c>
      <c r="E890" s="11">
        <v>0.0413169786959328</v>
      </c>
    </row>
    <row r="891" spans="1:5">
      <c r="A891" s="13">
        <v>45170</v>
      </c>
      <c r="B891" t="s">
        <v>213</v>
      </c>
      <c r="C891" t="s">
        <v>217</v>
      </c>
      <c r="D891" s="12">
        <v>172.3</v>
      </c>
      <c r="E891" s="11">
        <v>0.0590043023970499</v>
      </c>
    </row>
    <row r="892" spans="1:5">
      <c r="A892" s="13">
        <v>45170</v>
      </c>
      <c r="B892" t="s">
        <v>213</v>
      </c>
      <c r="C892" t="s">
        <v>218</v>
      </c>
      <c r="D892" s="12">
        <v>205.3</v>
      </c>
      <c r="E892" s="11">
        <v>0.0687142113482561</v>
      </c>
    </row>
    <row r="893" spans="1:5">
      <c r="A893" s="13">
        <v>45170</v>
      </c>
      <c r="B893" t="s">
        <v>213</v>
      </c>
      <c r="C893" t="s">
        <v>219</v>
      </c>
      <c r="D893" s="12">
        <v>204.8</v>
      </c>
      <c r="E893" s="11">
        <v>0.024</v>
      </c>
    </row>
    <row r="894" spans="1:5">
      <c r="A894" s="13">
        <v>45170</v>
      </c>
      <c r="B894" t="s">
        <v>221</v>
      </c>
      <c r="C894" t="s">
        <v>220</v>
      </c>
      <c r="D894" s="12">
        <v>169.1</v>
      </c>
      <c r="E894" s="11">
        <v>0.0386977886977886</v>
      </c>
    </row>
    <row r="895" spans="1:5">
      <c r="A895" s="13">
        <v>45170</v>
      </c>
      <c r="B895" t="s">
        <v>213</v>
      </c>
      <c r="C895" t="s">
        <v>216</v>
      </c>
      <c r="D895" s="12">
        <v>159.7</v>
      </c>
      <c r="E895" s="11">
        <v>0.0363400389357559</v>
      </c>
    </row>
    <row r="896" spans="1:5">
      <c r="A896" s="13">
        <v>45170</v>
      </c>
      <c r="B896" t="s">
        <v>213</v>
      </c>
      <c r="C896" t="s">
        <v>214</v>
      </c>
      <c r="D896" s="12">
        <v>186.2</v>
      </c>
      <c r="E896" s="11">
        <v>0.0555555555555553</v>
      </c>
    </row>
    <row r="897" spans="1:5">
      <c r="A897" s="13">
        <v>45170</v>
      </c>
      <c r="B897" t="s">
        <v>221</v>
      </c>
      <c r="C897" t="s">
        <v>216</v>
      </c>
      <c r="D897" s="12">
        <v>158.5</v>
      </c>
      <c r="E897" s="11">
        <v>0.0379829731499672</v>
      </c>
    </row>
    <row r="898" spans="1:5">
      <c r="A898" s="13">
        <v>45170</v>
      </c>
      <c r="B898" t="s">
        <v>221</v>
      </c>
      <c r="C898" t="s">
        <v>214</v>
      </c>
      <c r="D898" s="12">
        <v>183.1</v>
      </c>
      <c r="E898" s="11">
        <v>0.0577700751010976</v>
      </c>
    </row>
    <row r="899" spans="1:5">
      <c r="A899" s="13">
        <v>45170</v>
      </c>
      <c r="B899" t="s">
        <v>221</v>
      </c>
      <c r="C899" t="s">
        <v>218</v>
      </c>
      <c r="D899" s="12">
        <v>196.7</v>
      </c>
      <c r="E899" s="11">
        <v>0.0719346049046321</v>
      </c>
    </row>
    <row r="900" spans="1:5">
      <c r="A900" s="13">
        <v>45170</v>
      </c>
      <c r="B900" t="s">
        <v>221</v>
      </c>
      <c r="C900" t="s">
        <v>217</v>
      </c>
      <c r="D900" s="12">
        <v>170.9</v>
      </c>
      <c r="E900" s="11">
        <v>0.0555898702903026</v>
      </c>
    </row>
    <row r="901" spans="1:5">
      <c r="A901" s="13">
        <v>45170</v>
      </c>
      <c r="B901" t="s">
        <v>221</v>
      </c>
      <c r="C901" t="s">
        <v>219</v>
      </c>
      <c r="D901" s="12">
        <v>207.5</v>
      </c>
      <c r="E901" s="11">
        <v>0.0437625754527162</v>
      </c>
    </row>
    <row r="902" spans="1:5">
      <c r="A902" s="13">
        <v>45200</v>
      </c>
      <c r="B902" t="s">
        <v>221</v>
      </c>
      <c r="C902" t="s">
        <v>216</v>
      </c>
      <c r="D902" s="12">
        <v>158.6</v>
      </c>
      <c r="E902" s="11">
        <v>0.0312093628088425</v>
      </c>
    </row>
    <row r="903" spans="1:5">
      <c r="A903" s="13">
        <v>45200</v>
      </c>
      <c r="B903" t="s">
        <v>221</v>
      </c>
      <c r="C903" t="s">
        <v>214</v>
      </c>
      <c r="D903" s="12">
        <v>182.4</v>
      </c>
      <c r="E903" s="11">
        <v>0.054335260115607</v>
      </c>
    </row>
    <row r="904" spans="1:5">
      <c r="A904" s="13">
        <v>45200</v>
      </c>
      <c r="B904" t="s">
        <v>221</v>
      </c>
      <c r="C904" t="s">
        <v>219</v>
      </c>
      <c r="D904" s="12">
        <v>206.2</v>
      </c>
      <c r="E904" s="11">
        <v>0.044579533941236</v>
      </c>
    </row>
    <row r="905" spans="1:5">
      <c r="A905" s="13">
        <v>45200</v>
      </c>
      <c r="B905" t="s">
        <v>221</v>
      </c>
      <c r="C905" t="s">
        <v>220</v>
      </c>
      <c r="D905" s="12">
        <v>168.1</v>
      </c>
      <c r="E905" s="11">
        <v>0.0338253382533826</v>
      </c>
    </row>
    <row r="906" spans="1:5">
      <c r="A906" s="13">
        <v>45200</v>
      </c>
      <c r="B906" t="s">
        <v>221</v>
      </c>
      <c r="C906" t="s">
        <v>217</v>
      </c>
      <c r="D906" s="12">
        <v>166.8</v>
      </c>
      <c r="E906" s="11">
        <v>0.0490566037735848</v>
      </c>
    </row>
    <row r="907" spans="1:5">
      <c r="A907" s="13">
        <v>45200</v>
      </c>
      <c r="B907" t="s">
        <v>213</v>
      </c>
      <c r="C907" t="s">
        <v>216</v>
      </c>
      <c r="D907" s="12">
        <v>160.3</v>
      </c>
      <c r="E907" s="11">
        <v>0.0328608247422681</v>
      </c>
    </row>
    <row r="908" spans="1:5">
      <c r="A908" s="13">
        <v>45200</v>
      </c>
      <c r="B908" t="s">
        <v>213</v>
      </c>
      <c r="C908" t="s">
        <v>214</v>
      </c>
      <c r="D908" s="12">
        <v>185.6</v>
      </c>
      <c r="E908" s="11">
        <v>0.0593607305936072</v>
      </c>
    </row>
    <row r="909" spans="1:5">
      <c r="A909" s="13">
        <v>45200</v>
      </c>
      <c r="B909" t="s">
        <v>213</v>
      </c>
      <c r="C909" t="s">
        <v>219</v>
      </c>
      <c r="D909" s="12">
        <v>203.2</v>
      </c>
      <c r="E909" s="11">
        <v>0.0346232179226069</v>
      </c>
    </row>
    <row r="910" spans="1:5">
      <c r="A910" s="13">
        <v>45200</v>
      </c>
      <c r="B910" t="s">
        <v>213</v>
      </c>
      <c r="C910" t="s">
        <v>220</v>
      </c>
      <c r="D910" s="12">
        <v>174</v>
      </c>
      <c r="E910" s="11">
        <v>0.0425404433792688</v>
      </c>
    </row>
    <row r="911" spans="1:5">
      <c r="A911" s="13">
        <v>45200</v>
      </c>
      <c r="B911" t="s">
        <v>213</v>
      </c>
      <c r="C911" t="s">
        <v>218</v>
      </c>
      <c r="D911" s="12">
        <v>206.2</v>
      </c>
      <c r="E911" s="11">
        <v>0.0639834881320948</v>
      </c>
    </row>
    <row r="912" spans="1:5">
      <c r="A912" s="13">
        <v>45200</v>
      </c>
      <c r="B912" t="s">
        <v>213</v>
      </c>
      <c r="C912" t="s">
        <v>217</v>
      </c>
      <c r="D912" s="12">
        <v>169.1</v>
      </c>
      <c r="E912" s="11">
        <v>0.06620428751576291</v>
      </c>
    </row>
    <row r="913" spans="1:5">
      <c r="A913" s="13">
        <v>45200</v>
      </c>
      <c r="B913" t="s">
        <v>221</v>
      </c>
      <c r="C913" t="s">
        <v>218</v>
      </c>
      <c r="D913" s="12">
        <v>197.6</v>
      </c>
      <c r="E913" s="11">
        <v>0.0606548577563068</v>
      </c>
    </row>
    <row r="914" spans="1:5">
      <c r="A914" s="13">
        <v>45200</v>
      </c>
      <c r="B914" t="s">
        <v>215</v>
      </c>
      <c r="C914" t="s">
        <v>216</v>
      </c>
      <c r="D914" s="12">
        <v>162.2</v>
      </c>
      <c r="E914" s="11">
        <v>0.0404105195638229</v>
      </c>
    </row>
    <row r="915" spans="1:5">
      <c r="A915" s="13">
        <v>45231</v>
      </c>
      <c r="B915" t="s">
        <v>213</v>
      </c>
      <c r="C915" t="s">
        <v>214</v>
      </c>
      <c r="D915" s="12">
        <v>187.4</v>
      </c>
      <c r="E915" s="11">
        <v>0.0504484304932735</v>
      </c>
    </row>
    <row r="916" spans="1:5">
      <c r="A916" s="13">
        <v>45231</v>
      </c>
      <c r="B916" t="s">
        <v>221</v>
      </c>
      <c r="C916" t="s">
        <v>219</v>
      </c>
      <c r="D916" s="12">
        <v>207.7</v>
      </c>
      <c r="E916" s="11">
        <v>0.0495199595755431</v>
      </c>
    </row>
    <row r="917" spans="1:5">
      <c r="A917" s="13">
        <v>45231</v>
      </c>
      <c r="B917" t="s">
        <v>221</v>
      </c>
      <c r="C917" t="s">
        <v>220</v>
      </c>
      <c r="D917" s="12">
        <v>170</v>
      </c>
      <c r="E917" s="11">
        <v>0.0346926354230066</v>
      </c>
    </row>
    <row r="918" spans="1:5">
      <c r="A918" s="13">
        <v>45231</v>
      </c>
      <c r="B918" t="s">
        <v>221</v>
      </c>
      <c r="C918" t="s">
        <v>218</v>
      </c>
      <c r="D918" s="12">
        <v>197.9</v>
      </c>
      <c r="E918" s="11">
        <v>0.0588550026752274</v>
      </c>
    </row>
    <row r="919" spans="1:5">
      <c r="A919" s="13">
        <v>45231</v>
      </c>
      <c r="B919" t="s">
        <v>221</v>
      </c>
      <c r="C919" t="s">
        <v>217</v>
      </c>
      <c r="D919" s="12">
        <v>175.7</v>
      </c>
      <c r="E919" s="11">
        <v>0.0341377280753383</v>
      </c>
    </row>
    <row r="920" spans="1:5">
      <c r="A920" s="13">
        <v>45231</v>
      </c>
      <c r="B920" t="s">
        <v>213</v>
      </c>
      <c r="C920" t="s">
        <v>216</v>
      </c>
      <c r="D920" s="12">
        <v>160.6</v>
      </c>
      <c r="E920" s="11">
        <v>0.0334620334620334</v>
      </c>
    </row>
    <row r="921" spans="1:5">
      <c r="A921" s="13">
        <v>45231</v>
      </c>
      <c r="B921" t="s">
        <v>213</v>
      </c>
      <c r="C921" t="s">
        <v>219</v>
      </c>
      <c r="D921" s="12">
        <v>205</v>
      </c>
      <c r="E921" s="11">
        <v>0.0550694801852804</v>
      </c>
    </row>
    <row r="922" spans="1:5">
      <c r="A922" s="13">
        <v>45231</v>
      </c>
      <c r="B922" t="s">
        <v>213</v>
      </c>
      <c r="C922" t="s">
        <v>220</v>
      </c>
      <c r="D922" s="12">
        <v>176.8</v>
      </c>
      <c r="E922" s="11">
        <v>0.0339181286549707</v>
      </c>
    </row>
    <row r="923" spans="1:5">
      <c r="A923" s="13">
        <v>45231</v>
      </c>
      <c r="B923" t="s">
        <v>213</v>
      </c>
      <c r="C923" t="s">
        <v>218</v>
      </c>
      <c r="D923" s="12">
        <v>207.9</v>
      </c>
      <c r="E923" s="11">
        <v>0.06944444444444441</v>
      </c>
    </row>
    <row r="924" spans="1:5">
      <c r="A924" s="13">
        <v>45231</v>
      </c>
      <c r="B924" t="s">
        <v>213</v>
      </c>
      <c r="C924" t="s">
        <v>217</v>
      </c>
      <c r="D924" s="12">
        <v>177.2</v>
      </c>
      <c r="E924" s="11">
        <v>0.0399061032863847</v>
      </c>
    </row>
    <row r="925" spans="1:5">
      <c r="A925" s="13">
        <v>45231</v>
      </c>
      <c r="B925" t="s">
        <v>215</v>
      </c>
      <c r="C925" t="s">
        <v>216</v>
      </c>
      <c r="D925" s="12">
        <v>162.3</v>
      </c>
      <c r="E925" s="11">
        <v>0.038387715930902</v>
      </c>
    </row>
    <row r="926" spans="1:5">
      <c r="A926" s="13">
        <v>45231</v>
      </c>
      <c r="B926" t="s">
        <v>221</v>
      </c>
      <c r="C926" t="s">
        <v>214</v>
      </c>
      <c r="D926" s="12">
        <v>183.9</v>
      </c>
      <c r="E926" s="11">
        <v>0.0466704610130905</v>
      </c>
    </row>
    <row r="927" spans="1:5">
      <c r="A927" s="13">
        <v>45231</v>
      </c>
      <c r="B927" t="s">
        <v>221</v>
      </c>
      <c r="C927" t="s">
        <v>216</v>
      </c>
      <c r="D927" s="12">
        <v>158.8</v>
      </c>
      <c r="E927" s="11">
        <v>0.0311688311688311</v>
      </c>
    </row>
    <row r="928" spans="1:5">
      <c r="A928" s="13">
        <v>45261</v>
      </c>
      <c r="B928" t="s">
        <v>215</v>
      </c>
      <c r="C928" t="s">
        <v>216</v>
      </c>
      <c r="D928" s="12">
        <v>162.4</v>
      </c>
      <c r="E928" s="11">
        <v>0.0416933932007697</v>
      </c>
    </row>
    <row r="929" spans="1:5">
      <c r="A929" s="13">
        <v>45261</v>
      </c>
      <c r="B929" t="s">
        <v>221</v>
      </c>
      <c r="C929" t="s">
        <v>214</v>
      </c>
      <c r="D929" s="12">
        <v>184.5</v>
      </c>
      <c r="E929" s="11">
        <v>0.0465116279069766</v>
      </c>
    </row>
    <row r="930" spans="1:5">
      <c r="A930" s="13">
        <v>45261</v>
      </c>
      <c r="B930" t="s">
        <v>221</v>
      </c>
      <c r="C930" t="s">
        <v>219</v>
      </c>
      <c r="D930" s="12">
        <v>207.4</v>
      </c>
      <c r="E930" s="11">
        <v>0.055470737913486</v>
      </c>
    </row>
    <row r="931" spans="1:5">
      <c r="A931" s="13">
        <v>45261</v>
      </c>
      <c r="B931" t="s">
        <v>221</v>
      </c>
      <c r="C931" t="s">
        <v>220</v>
      </c>
      <c r="D931" s="12">
        <v>168.9</v>
      </c>
      <c r="E931" s="11">
        <v>0.0336597307221542</v>
      </c>
    </row>
    <row r="932" spans="1:5">
      <c r="A932" s="13">
        <v>45261</v>
      </c>
      <c r="B932" t="s">
        <v>221</v>
      </c>
      <c r="C932" t="s">
        <v>218</v>
      </c>
      <c r="D932" s="12">
        <v>197.9</v>
      </c>
      <c r="E932" s="11">
        <v>0.0509824747742964</v>
      </c>
    </row>
    <row r="933" spans="1:5">
      <c r="A933" s="13">
        <v>45261</v>
      </c>
      <c r="B933" t="s">
        <v>221</v>
      </c>
      <c r="C933" t="s">
        <v>217</v>
      </c>
      <c r="D933" s="12">
        <v>179.5</v>
      </c>
      <c r="E933" s="11">
        <v>0.0175736961451247</v>
      </c>
    </row>
    <row r="934" spans="1:5">
      <c r="A934" s="13">
        <v>45261</v>
      </c>
      <c r="B934" t="s">
        <v>221</v>
      </c>
      <c r="C934" t="s">
        <v>216</v>
      </c>
      <c r="D934" s="12">
        <v>158.3</v>
      </c>
      <c r="E934" s="11">
        <v>0.0339647289353364</v>
      </c>
    </row>
    <row r="935" spans="1:5">
      <c r="A935" s="13">
        <v>45261</v>
      </c>
      <c r="B935" t="s">
        <v>213</v>
      </c>
      <c r="C935" t="s">
        <v>214</v>
      </c>
      <c r="D935" s="12">
        <v>187</v>
      </c>
      <c r="E935" s="11">
        <v>0.0377358490566037</v>
      </c>
    </row>
    <row r="936" spans="1:5">
      <c r="A936" s="13">
        <v>45261</v>
      </c>
      <c r="B936" t="s">
        <v>213</v>
      </c>
      <c r="C936" t="s">
        <v>219</v>
      </c>
      <c r="D936" s="12">
        <v>203.4</v>
      </c>
      <c r="E936" s="11">
        <v>0.0351145038167939</v>
      </c>
    </row>
    <row r="937" spans="1:5">
      <c r="A937" s="13">
        <v>45261</v>
      </c>
      <c r="B937" t="s">
        <v>213</v>
      </c>
      <c r="C937" t="s">
        <v>220</v>
      </c>
      <c r="D937" s="12">
        <v>174.3</v>
      </c>
      <c r="E937" s="11">
        <v>0.0301418439716314</v>
      </c>
    </row>
    <row r="938" spans="1:5">
      <c r="A938" s="13">
        <v>45261</v>
      </c>
      <c r="B938" t="s">
        <v>213</v>
      </c>
      <c r="C938" t="s">
        <v>218</v>
      </c>
      <c r="D938" s="12">
        <v>206.9</v>
      </c>
      <c r="E938" s="11">
        <v>0.0475949367088608</v>
      </c>
    </row>
    <row r="939" spans="1:5">
      <c r="A939" s="13">
        <v>45261</v>
      </c>
      <c r="B939" t="s">
        <v>213</v>
      </c>
      <c r="C939" t="s">
        <v>217</v>
      </c>
      <c r="D939" s="12">
        <v>180.2</v>
      </c>
      <c r="E939" s="11">
        <v>0.0106561974200782</v>
      </c>
    </row>
    <row r="940" spans="1:5">
      <c r="A940" s="13">
        <v>45261</v>
      </c>
      <c r="B940" t="s">
        <v>213</v>
      </c>
      <c r="C940" t="s">
        <v>216</v>
      </c>
      <c r="D940" s="12">
        <v>160</v>
      </c>
      <c r="E940" s="11">
        <v>0.0335917312661497</v>
      </c>
    </row>
    <row r="941" spans="1:5">
      <c r="A941" s="13">
        <v>45292</v>
      </c>
      <c r="B941" t="s">
        <v>215</v>
      </c>
      <c r="C941" t="s">
        <v>216</v>
      </c>
      <c r="D941" s="12">
        <v>162</v>
      </c>
      <c r="E941" s="11">
        <v>0.0331632653061224</v>
      </c>
    </row>
    <row r="942" spans="1:5">
      <c r="A942" s="13">
        <v>45292</v>
      </c>
      <c r="B942" t="s">
        <v>213</v>
      </c>
      <c r="C942" t="s">
        <v>217</v>
      </c>
      <c r="D942" s="12">
        <v>183.6</v>
      </c>
      <c r="E942" s="11">
        <v>-0.0059556036816458</v>
      </c>
    </row>
    <row r="943" spans="1:5">
      <c r="A943" s="13">
        <v>45292</v>
      </c>
      <c r="B943" t="s">
        <v>213</v>
      </c>
      <c r="C943" t="s">
        <v>218</v>
      </c>
      <c r="D943" s="12">
        <v>205.1</v>
      </c>
      <c r="E943" s="11">
        <v>0.0448293428425878</v>
      </c>
    </row>
    <row r="944" spans="1:5">
      <c r="A944" s="13">
        <v>45292</v>
      </c>
      <c r="B944" t="s">
        <v>213</v>
      </c>
      <c r="C944" t="s">
        <v>220</v>
      </c>
      <c r="D944" s="12">
        <v>175.8</v>
      </c>
      <c r="E944" s="11">
        <v>0.010344827586207</v>
      </c>
    </row>
    <row r="945" spans="1:5">
      <c r="A945" s="13">
        <v>45292</v>
      </c>
      <c r="B945" t="s">
        <v>213</v>
      </c>
      <c r="C945" t="s">
        <v>219</v>
      </c>
      <c r="D945" s="12">
        <v>206.2</v>
      </c>
      <c r="E945" s="11">
        <v>0.0223103619236488</v>
      </c>
    </row>
    <row r="946" spans="1:5">
      <c r="A946" s="13">
        <v>45292</v>
      </c>
      <c r="B946" t="s">
        <v>221</v>
      </c>
      <c r="C946" t="s">
        <v>214</v>
      </c>
      <c r="D946" s="12">
        <v>186</v>
      </c>
      <c r="E946" s="11">
        <v>0.0339077265147302</v>
      </c>
    </row>
    <row r="947" spans="1:5">
      <c r="A947" s="13">
        <v>45292</v>
      </c>
      <c r="B947" t="s">
        <v>213</v>
      </c>
      <c r="C947" t="s">
        <v>216</v>
      </c>
      <c r="D947" s="12">
        <v>159.9</v>
      </c>
      <c r="E947" s="11">
        <v>0.0269749518304431</v>
      </c>
    </row>
    <row r="948" spans="1:5">
      <c r="A948" s="13">
        <v>45292</v>
      </c>
      <c r="B948" t="s">
        <v>221</v>
      </c>
      <c r="C948" t="s">
        <v>220</v>
      </c>
      <c r="D948" s="12">
        <v>169.3</v>
      </c>
      <c r="E948" s="11">
        <v>0.014988009592326</v>
      </c>
    </row>
    <row r="949" spans="1:5">
      <c r="A949" s="13">
        <v>45292</v>
      </c>
      <c r="B949" t="s">
        <v>221</v>
      </c>
      <c r="C949" t="s">
        <v>219</v>
      </c>
      <c r="D949" s="12">
        <v>208.8</v>
      </c>
      <c r="E949" s="11">
        <v>0.0280649926144758</v>
      </c>
    </row>
    <row r="950" spans="1:5">
      <c r="A950" s="13">
        <v>45292</v>
      </c>
      <c r="B950" t="s">
        <v>221</v>
      </c>
      <c r="C950" t="s">
        <v>216</v>
      </c>
      <c r="D950" s="12">
        <v>158.3</v>
      </c>
      <c r="E950" s="11">
        <v>0.0285899935022742</v>
      </c>
    </row>
    <row r="951" spans="1:5">
      <c r="A951" s="13">
        <v>45292</v>
      </c>
      <c r="B951" t="s">
        <v>213</v>
      </c>
      <c r="C951" t="s">
        <v>214</v>
      </c>
      <c r="D951" s="12">
        <v>188.9</v>
      </c>
      <c r="E951" s="11">
        <v>0.0277475516866159</v>
      </c>
    </row>
    <row r="952" spans="1:5">
      <c r="A952" s="13">
        <v>45292</v>
      </c>
      <c r="B952" t="s">
        <v>221</v>
      </c>
      <c r="C952" t="s">
        <v>218</v>
      </c>
      <c r="D952" s="12">
        <v>197</v>
      </c>
      <c r="E952" s="11">
        <v>0.0417768376520359</v>
      </c>
    </row>
    <row r="953" spans="1:5">
      <c r="A953" s="13">
        <v>45292</v>
      </c>
      <c r="B953" t="s">
        <v>221</v>
      </c>
      <c r="C953" t="s">
        <v>217</v>
      </c>
      <c r="D953" s="12">
        <v>184.4</v>
      </c>
      <c r="E953" s="11">
        <v>0.012630422844591</v>
      </c>
    </row>
    <row r="954" spans="1:5">
      <c r="A954" s="13">
        <v>45323</v>
      </c>
      <c r="B954" t="s">
        <v>213</v>
      </c>
      <c r="C954" t="s">
        <v>218</v>
      </c>
      <c r="D954" s="12">
        <v>205.7</v>
      </c>
      <c r="E954" s="11">
        <v>0.0254237288135592</v>
      </c>
    </row>
    <row r="955" spans="1:5">
      <c r="A955" s="13">
        <v>45323</v>
      </c>
      <c r="B955" t="s">
        <v>221</v>
      </c>
      <c r="C955" t="s">
        <v>216</v>
      </c>
      <c r="D955" s="12">
        <v>158.8</v>
      </c>
      <c r="E955" s="11">
        <v>0.0278317152103559</v>
      </c>
    </row>
    <row r="956" spans="1:5">
      <c r="A956" s="13">
        <v>45323</v>
      </c>
      <c r="B956" t="s">
        <v>221</v>
      </c>
      <c r="C956" t="s">
        <v>214</v>
      </c>
      <c r="D956" s="12">
        <v>185.6</v>
      </c>
      <c r="E956" s="11">
        <v>0.0242825607064018</v>
      </c>
    </row>
    <row r="957" spans="1:5">
      <c r="A957" s="13">
        <v>45323</v>
      </c>
      <c r="B957" t="s">
        <v>221</v>
      </c>
      <c r="C957" t="s">
        <v>219</v>
      </c>
      <c r="D957" s="12">
        <v>206.2</v>
      </c>
      <c r="E957" s="11">
        <v>0.0258706467661691</v>
      </c>
    </row>
    <row r="958" spans="1:5">
      <c r="A958" s="13">
        <v>45323</v>
      </c>
      <c r="B958" t="s">
        <v>221</v>
      </c>
      <c r="C958" t="s">
        <v>220</v>
      </c>
      <c r="D958" s="12">
        <v>169.1</v>
      </c>
      <c r="E958" s="11">
        <v>0.008348240906380399</v>
      </c>
    </row>
    <row r="959" spans="1:5">
      <c r="A959" s="13">
        <v>45323</v>
      </c>
      <c r="B959" t="s">
        <v>221</v>
      </c>
      <c r="C959" t="s">
        <v>218</v>
      </c>
      <c r="D959" s="12">
        <v>197.7</v>
      </c>
      <c r="E959" s="11">
        <v>0.0318371607515657</v>
      </c>
    </row>
    <row r="960" spans="1:5">
      <c r="A960" s="13">
        <v>45323</v>
      </c>
      <c r="B960" t="s">
        <v>221</v>
      </c>
      <c r="C960" t="s">
        <v>217</v>
      </c>
      <c r="D960" s="12">
        <v>183.4</v>
      </c>
      <c r="E960" s="11">
        <v>0.0076923076923076</v>
      </c>
    </row>
    <row r="961" spans="1:5">
      <c r="A961" s="13">
        <v>45323</v>
      </c>
      <c r="B961" t="s">
        <v>213</v>
      </c>
      <c r="C961" t="s">
        <v>216</v>
      </c>
      <c r="D961" s="12">
        <v>160.2</v>
      </c>
      <c r="E961" s="11">
        <v>0.0242966751918156</v>
      </c>
    </row>
    <row r="962" spans="1:5">
      <c r="A962" s="13">
        <v>45323</v>
      </c>
      <c r="B962" t="s">
        <v>213</v>
      </c>
      <c r="C962" t="s">
        <v>214</v>
      </c>
      <c r="D962" s="12">
        <v>187.9</v>
      </c>
      <c r="E962" s="11">
        <v>0.0145788336933045</v>
      </c>
    </row>
    <row r="963" spans="1:5">
      <c r="A963" s="13">
        <v>45323</v>
      </c>
      <c r="B963" t="s">
        <v>213</v>
      </c>
      <c r="C963" t="s">
        <v>219</v>
      </c>
      <c r="D963" s="12">
        <v>205</v>
      </c>
      <c r="E963" s="11">
        <v>0.0291164658634539</v>
      </c>
    </row>
    <row r="964" spans="1:5">
      <c r="A964" s="13">
        <v>45323</v>
      </c>
      <c r="B964" t="s">
        <v>213</v>
      </c>
      <c r="C964" t="s">
        <v>220</v>
      </c>
      <c r="D964" s="12">
        <v>174.6</v>
      </c>
      <c r="E964" s="11">
        <v>0.0034482758620688</v>
      </c>
    </row>
    <row r="965" spans="1:5">
      <c r="A965" s="13">
        <v>45323</v>
      </c>
      <c r="B965" t="s">
        <v>215</v>
      </c>
      <c r="C965" t="s">
        <v>216</v>
      </c>
      <c r="D965" s="12">
        <v>162.2</v>
      </c>
      <c r="E965" s="11">
        <v>0.030495552731893</v>
      </c>
    </row>
    <row r="966" spans="1:5">
      <c r="A966" s="13">
        <v>45323</v>
      </c>
      <c r="B966" t="s">
        <v>213</v>
      </c>
      <c r="C966" t="s">
        <v>217</v>
      </c>
      <c r="D966" s="12">
        <v>180.1</v>
      </c>
      <c r="E966" s="11">
        <v>-0.0275377969762419</v>
      </c>
    </row>
    <row r="967" spans="1:5">
      <c r="A967" s="13">
        <v>45352</v>
      </c>
      <c r="B967" t="s">
        <v>213</v>
      </c>
      <c r="C967" t="s">
        <v>214</v>
      </c>
      <c r="D967" s="12">
        <v>187.7</v>
      </c>
      <c r="E967" s="11">
        <v>0.0085975282106394</v>
      </c>
    </row>
    <row r="968" spans="1:5">
      <c r="A968" s="13">
        <v>45352</v>
      </c>
      <c r="B968" t="s">
        <v>213</v>
      </c>
      <c r="C968" t="s">
        <v>219</v>
      </c>
      <c r="D968" s="12">
        <v>206.9</v>
      </c>
      <c r="E968" s="11">
        <v>0.0334665334665336</v>
      </c>
    </row>
    <row r="969" spans="1:5">
      <c r="A969" s="13">
        <v>45352</v>
      </c>
      <c r="B969" t="s">
        <v>221</v>
      </c>
      <c r="C969" t="s">
        <v>216</v>
      </c>
      <c r="D969" s="12">
        <v>159.8</v>
      </c>
      <c r="E969" s="11">
        <v>0.0289761751448809</v>
      </c>
    </row>
    <row r="970" spans="1:5">
      <c r="A970" s="13">
        <v>45352</v>
      </c>
      <c r="B970" t="s">
        <v>221</v>
      </c>
      <c r="C970" t="s">
        <v>214</v>
      </c>
      <c r="D970" s="12">
        <v>185.1</v>
      </c>
      <c r="E970" s="11">
        <v>0.0187121629058888</v>
      </c>
    </row>
    <row r="971" spans="1:5">
      <c r="A971" s="13">
        <v>45352</v>
      </c>
      <c r="B971" t="s">
        <v>221</v>
      </c>
      <c r="C971" t="s">
        <v>219</v>
      </c>
      <c r="D971" s="12">
        <v>207.2</v>
      </c>
      <c r="E971" s="11">
        <v>0.0339321357285429</v>
      </c>
    </row>
    <row r="972" spans="1:5">
      <c r="A972" s="13">
        <v>45352</v>
      </c>
      <c r="B972" t="s">
        <v>221</v>
      </c>
      <c r="C972" t="s">
        <v>220</v>
      </c>
      <c r="D972" s="12">
        <v>170.7</v>
      </c>
      <c r="E972" s="11">
        <v>0.0070796460176989</v>
      </c>
    </row>
    <row r="973" spans="1:5">
      <c r="A973" s="13">
        <v>45352</v>
      </c>
      <c r="B973" t="s">
        <v>213</v>
      </c>
      <c r="C973" t="s">
        <v>218</v>
      </c>
      <c r="D973" s="12">
        <v>206.3</v>
      </c>
      <c r="E973" s="11">
        <v>0.004381694255112</v>
      </c>
    </row>
    <row r="974" spans="1:5">
      <c r="A974" s="13">
        <v>45352</v>
      </c>
      <c r="B974" t="s">
        <v>213</v>
      </c>
      <c r="C974" t="s">
        <v>217</v>
      </c>
      <c r="D974" s="12">
        <v>172</v>
      </c>
      <c r="E974" s="11">
        <v>-0.0293453724604965</v>
      </c>
    </row>
    <row r="975" spans="1:5">
      <c r="A975" s="13">
        <v>45352</v>
      </c>
      <c r="B975" t="s">
        <v>215</v>
      </c>
      <c r="C975" t="s">
        <v>216</v>
      </c>
      <c r="D975" s="12">
        <v>163.4</v>
      </c>
      <c r="E975" s="11">
        <v>0.0309148264984227</v>
      </c>
    </row>
    <row r="976" spans="1:5">
      <c r="A976" s="13">
        <v>45352</v>
      </c>
      <c r="B976" t="s">
        <v>221</v>
      </c>
      <c r="C976" t="s">
        <v>218</v>
      </c>
      <c r="D976" s="12">
        <v>197</v>
      </c>
      <c r="E976" s="11">
        <v>0.008188331627430901</v>
      </c>
    </row>
    <row r="977" spans="1:5">
      <c r="A977" s="13">
        <v>45352</v>
      </c>
      <c r="B977" t="s">
        <v>221</v>
      </c>
      <c r="C977" t="s">
        <v>217</v>
      </c>
      <c r="D977" s="12">
        <v>175.8</v>
      </c>
      <c r="E977" s="11">
        <v>0.0028522532800911</v>
      </c>
    </row>
    <row r="978" spans="1:5">
      <c r="A978" s="13">
        <v>45352</v>
      </c>
      <c r="B978" t="s">
        <v>213</v>
      </c>
      <c r="C978" t="s">
        <v>216</v>
      </c>
      <c r="D978" s="12">
        <v>161.4</v>
      </c>
      <c r="E978" s="11">
        <v>0.0260648442466624</v>
      </c>
    </row>
    <row r="979" spans="1:5">
      <c r="A979" s="13">
        <v>45352</v>
      </c>
      <c r="B979" t="s">
        <v>213</v>
      </c>
      <c r="C979" t="s">
        <v>220</v>
      </c>
      <c r="D979" s="12">
        <v>176.4</v>
      </c>
      <c r="E979" s="11">
        <v>-0.0067567567567566</v>
      </c>
    </row>
    <row r="980" spans="1:5">
      <c r="A980" s="13">
        <v>45383</v>
      </c>
      <c r="B980" t="s">
        <v>221</v>
      </c>
      <c r="C980" t="s">
        <v>218</v>
      </c>
      <c r="D980" s="12">
        <v>197</v>
      </c>
      <c r="E980" s="11">
        <v>0.0015251652262329</v>
      </c>
    </row>
    <row r="981" spans="1:5">
      <c r="A981" s="13">
        <v>45383</v>
      </c>
      <c r="B981" t="s">
        <v>221</v>
      </c>
      <c r="C981" t="s">
        <v>220</v>
      </c>
      <c r="D981" s="12">
        <v>171.3</v>
      </c>
      <c r="E981" s="11">
        <v>0.0154119739181981</v>
      </c>
    </row>
    <row r="982" spans="1:5">
      <c r="A982" s="13">
        <v>45383</v>
      </c>
      <c r="B982" t="s">
        <v>213</v>
      </c>
      <c r="C982" t="s">
        <v>218</v>
      </c>
      <c r="D982" s="12">
        <v>206.1</v>
      </c>
      <c r="E982" s="11">
        <v>-0.0043478260869564</v>
      </c>
    </row>
    <row r="983" spans="1:5">
      <c r="A983" s="13">
        <v>45383</v>
      </c>
      <c r="B983" t="s">
        <v>221</v>
      </c>
      <c r="C983" t="s">
        <v>219</v>
      </c>
      <c r="D983" s="12">
        <v>207.6</v>
      </c>
      <c r="E983" s="11">
        <v>0.0181461500735653</v>
      </c>
    </row>
    <row r="984" spans="1:5">
      <c r="A984" s="13">
        <v>45383</v>
      </c>
      <c r="B984" t="s">
        <v>221</v>
      </c>
      <c r="C984" t="s">
        <v>214</v>
      </c>
      <c r="D984" s="12">
        <v>184.5</v>
      </c>
      <c r="E984" s="11">
        <v>0.0137362637362636</v>
      </c>
    </row>
    <row r="985" spans="1:5">
      <c r="A985" s="13">
        <v>45383</v>
      </c>
      <c r="B985" t="s">
        <v>221</v>
      </c>
      <c r="C985" t="s">
        <v>216</v>
      </c>
      <c r="D985" s="12">
        <v>160.6</v>
      </c>
      <c r="E985" s="11">
        <v>0.026854219948849</v>
      </c>
    </row>
    <row r="986" spans="1:5">
      <c r="A986" s="13">
        <v>45383</v>
      </c>
      <c r="B986" t="s">
        <v>221</v>
      </c>
      <c r="C986" t="s">
        <v>217</v>
      </c>
      <c r="D986" s="12">
        <v>172.2</v>
      </c>
      <c r="E986" s="11">
        <v>-0.0034722222222223</v>
      </c>
    </row>
    <row r="987" spans="1:5">
      <c r="A987" s="13">
        <v>45383</v>
      </c>
      <c r="B987" t="s">
        <v>213</v>
      </c>
      <c r="C987" t="s">
        <v>216</v>
      </c>
      <c r="D987" s="12">
        <v>162.2</v>
      </c>
      <c r="E987" s="11">
        <v>0.0272324255858136</v>
      </c>
    </row>
    <row r="988" spans="1:5">
      <c r="A988" s="13">
        <v>45383</v>
      </c>
      <c r="B988" t="s">
        <v>213</v>
      </c>
      <c r="C988" t="s">
        <v>214</v>
      </c>
      <c r="D988" s="12">
        <v>187.4</v>
      </c>
      <c r="E988" s="11">
        <v>0.008068854222700299</v>
      </c>
    </row>
    <row r="989" spans="1:5">
      <c r="A989" s="13">
        <v>45383</v>
      </c>
      <c r="B989" t="s">
        <v>213</v>
      </c>
      <c r="C989" t="s">
        <v>219</v>
      </c>
      <c r="D989" s="12">
        <v>204.6</v>
      </c>
      <c r="E989" s="11">
        <v>0.0118694362017803</v>
      </c>
    </row>
    <row r="990" spans="1:5">
      <c r="A990" s="13">
        <v>45383</v>
      </c>
      <c r="B990" t="s">
        <v>213</v>
      </c>
      <c r="C990" t="s">
        <v>220</v>
      </c>
      <c r="D990" s="12">
        <v>178.2</v>
      </c>
      <c r="E990" s="11">
        <v>0.021788990825688</v>
      </c>
    </row>
    <row r="991" spans="1:5">
      <c r="A991" s="13">
        <v>45383</v>
      </c>
      <c r="B991" t="s">
        <v>213</v>
      </c>
      <c r="C991" t="s">
        <v>217</v>
      </c>
      <c r="D991" s="12">
        <v>171.4</v>
      </c>
      <c r="E991" s="11">
        <v>-0.0211307824100512</v>
      </c>
    </row>
    <row r="992" spans="1:5">
      <c r="A992" s="13">
        <v>45383</v>
      </c>
      <c r="B992" t="s">
        <v>215</v>
      </c>
      <c r="C992" t="s">
        <v>216</v>
      </c>
      <c r="D992" s="12">
        <v>164</v>
      </c>
      <c r="E992" s="11">
        <v>0.0320956576463185</v>
      </c>
    </row>
    <row r="993" spans="1:5">
      <c r="A993" s="13">
        <v>45413</v>
      </c>
      <c r="B993" t="s">
        <v>221</v>
      </c>
      <c r="C993" t="s">
        <v>218</v>
      </c>
      <c r="D993" s="12">
        <v>198.8</v>
      </c>
      <c r="E993" s="11">
        <v>-0.0005027652086475</v>
      </c>
    </row>
    <row r="994" spans="1:5">
      <c r="A994" s="13">
        <v>45413</v>
      </c>
      <c r="B994" t="s">
        <v>221</v>
      </c>
      <c r="C994" t="s">
        <v>220</v>
      </c>
      <c r="D994" s="12">
        <v>171</v>
      </c>
      <c r="E994" s="11">
        <v>0.0047003525264395</v>
      </c>
    </row>
    <row r="995" spans="1:5">
      <c r="A995" s="13">
        <v>45413</v>
      </c>
      <c r="B995" t="s">
        <v>221</v>
      </c>
      <c r="C995" t="s">
        <v>219</v>
      </c>
      <c r="D995" s="12">
        <v>210.2</v>
      </c>
      <c r="E995" s="11">
        <v>0.0344488188976377</v>
      </c>
    </row>
    <row r="996" spans="1:5">
      <c r="A996" s="13">
        <v>45413</v>
      </c>
      <c r="B996" t="s">
        <v>215</v>
      </c>
      <c r="C996" t="s">
        <v>216</v>
      </c>
      <c r="D996" s="12">
        <v>165.3</v>
      </c>
      <c r="E996" s="11">
        <v>0.0344180225281602</v>
      </c>
    </row>
    <row r="997" spans="1:5">
      <c r="A997" s="13">
        <v>45413</v>
      </c>
      <c r="B997" t="s">
        <v>221</v>
      </c>
      <c r="C997" t="s">
        <v>216</v>
      </c>
      <c r="D997" s="12">
        <v>161.5</v>
      </c>
      <c r="E997" s="11">
        <v>0.0286624203821657</v>
      </c>
    </row>
    <row r="998" spans="1:5">
      <c r="A998" s="13">
        <v>45413</v>
      </c>
      <c r="B998" t="s">
        <v>221</v>
      </c>
      <c r="C998" t="s">
        <v>217</v>
      </c>
      <c r="D998" s="12">
        <v>177.2</v>
      </c>
      <c r="E998" s="11">
        <v>-0.0005640157924423</v>
      </c>
    </row>
    <row r="999" spans="1:5">
      <c r="A999" s="13">
        <v>45413</v>
      </c>
      <c r="B999" t="s">
        <v>221</v>
      </c>
      <c r="C999" t="s">
        <v>214</v>
      </c>
      <c r="D999" s="12">
        <v>186.5</v>
      </c>
      <c r="E999" s="11">
        <v>0.015242242787153</v>
      </c>
    </row>
    <row r="1000" spans="1:5">
      <c r="A1000" s="13">
        <v>45413</v>
      </c>
      <c r="B1000" t="s">
        <v>213</v>
      </c>
      <c r="C1000" t="s">
        <v>216</v>
      </c>
      <c r="D1000" s="12">
        <v>163.2</v>
      </c>
      <c r="E1000" s="11">
        <v>0.0296529968454257</v>
      </c>
    </row>
    <row r="1001" spans="1:5">
      <c r="A1001" s="13">
        <v>45413</v>
      </c>
      <c r="B1001" t="s">
        <v>213</v>
      </c>
      <c r="C1001" t="s">
        <v>214</v>
      </c>
      <c r="D1001" s="12">
        <v>189.1</v>
      </c>
      <c r="E1001" s="11">
        <v>0.0074587107085775</v>
      </c>
    </row>
    <row r="1002" spans="1:5">
      <c r="A1002" s="13">
        <v>45413</v>
      </c>
      <c r="B1002" t="s">
        <v>213</v>
      </c>
      <c r="C1002" t="s">
        <v>219</v>
      </c>
      <c r="D1002" s="12">
        <v>207.5</v>
      </c>
      <c r="E1002" s="11">
        <v>0.0246913580246914</v>
      </c>
    </row>
    <row r="1003" spans="1:5">
      <c r="A1003" s="13">
        <v>45413</v>
      </c>
      <c r="B1003" t="s">
        <v>213</v>
      </c>
      <c r="C1003" t="s">
        <v>218</v>
      </c>
      <c r="D1003" s="12">
        <v>208.2</v>
      </c>
      <c r="E1003" s="11">
        <v>-0.0028735632183909</v>
      </c>
    </row>
    <row r="1004" spans="1:5">
      <c r="A1004" s="13">
        <v>45413</v>
      </c>
      <c r="B1004" t="s">
        <v>213</v>
      </c>
      <c r="C1004" t="s">
        <v>220</v>
      </c>
      <c r="D1004" s="12">
        <v>177.4</v>
      </c>
      <c r="E1004" s="11">
        <v>-0.0016882386043892</v>
      </c>
    </row>
    <row r="1005" spans="1:5">
      <c r="A1005" s="13">
        <v>45413</v>
      </c>
      <c r="B1005" t="s">
        <v>213</v>
      </c>
      <c r="C1005" t="s">
        <v>217</v>
      </c>
      <c r="D1005" s="12">
        <v>174.7</v>
      </c>
      <c r="E1005" s="11">
        <v>-0.0245672808486878</v>
      </c>
    </row>
    <row r="1006" spans="1:5">
      <c r="A1006" s="13">
        <v>45444</v>
      </c>
      <c r="B1006" t="s">
        <v>221</v>
      </c>
      <c r="C1006" t="s">
        <v>216</v>
      </c>
      <c r="D1006" s="12">
        <v>161.4</v>
      </c>
      <c r="E1006" s="11">
        <v>0.0267175572519084</v>
      </c>
    </row>
    <row r="1007" spans="1:5">
      <c r="A1007" s="13">
        <v>45444</v>
      </c>
      <c r="B1007" t="s">
        <v>221</v>
      </c>
      <c r="C1007" t="s">
        <v>214</v>
      </c>
      <c r="D1007" s="12">
        <v>187.5</v>
      </c>
      <c r="E1007" s="11">
        <v>0.0212418300653594</v>
      </c>
    </row>
    <row r="1008" spans="1:5">
      <c r="A1008" s="13">
        <v>45444</v>
      </c>
      <c r="B1008" t="s">
        <v>221</v>
      </c>
      <c r="C1008" t="s">
        <v>219</v>
      </c>
      <c r="D1008" s="12">
        <v>211.3</v>
      </c>
      <c r="E1008" s="11">
        <v>0.0357843137254902</v>
      </c>
    </row>
    <row r="1009" spans="1:5">
      <c r="A1009" s="13">
        <v>45444</v>
      </c>
      <c r="B1009" t="s">
        <v>221</v>
      </c>
      <c r="C1009" t="s">
        <v>220</v>
      </c>
      <c r="D1009" s="12">
        <v>173.7</v>
      </c>
      <c r="E1009" s="11">
        <v>0.0229681978798586</v>
      </c>
    </row>
    <row r="1010" spans="1:5">
      <c r="A1010" s="13">
        <v>45444</v>
      </c>
      <c r="B1010" t="s">
        <v>221</v>
      </c>
      <c r="C1010" t="s">
        <v>217</v>
      </c>
      <c r="D1010" s="12">
        <v>178</v>
      </c>
      <c r="E1010" s="11">
        <v>-0.0033594624860021</v>
      </c>
    </row>
    <row r="1011" spans="1:5">
      <c r="A1011" s="13">
        <v>45444</v>
      </c>
      <c r="B1011" t="s">
        <v>213</v>
      </c>
      <c r="C1011" t="s">
        <v>216</v>
      </c>
      <c r="D1011" s="12">
        <v>163.1</v>
      </c>
      <c r="E1011" s="11">
        <v>0.0296717171717171</v>
      </c>
    </row>
    <row r="1012" spans="1:5">
      <c r="A1012" s="13">
        <v>45444</v>
      </c>
      <c r="B1012" t="s">
        <v>213</v>
      </c>
      <c r="C1012" t="s">
        <v>219</v>
      </c>
      <c r="D1012" s="12">
        <v>209.2</v>
      </c>
      <c r="E1012" s="11">
        <v>0.0439121756487024</v>
      </c>
    </row>
    <row r="1013" spans="1:5">
      <c r="A1013" s="13">
        <v>45444</v>
      </c>
      <c r="B1013" t="s">
        <v>213</v>
      </c>
      <c r="C1013" t="s">
        <v>220</v>
      </c>
      <c r="D1013" s="12">
        <v>180.4</v>
      </c>
      <c r="E1013" s="11">
        <v>0.0250000000000001</v>
      </c>
    </row>
    <row r="1014" spans="1:5">
      <c r="A1014" s="13">
        <v>45444</v>
      </c>
      <c r="B1014" t="s">
        <v>213</v>
      </c>
      <c r="C1014" t="s">
        <v>218</v>
      </c>
      <c r="D1014" s="12">
        <v>209.1</v>
      </c>
      <c r="E1014" s="11">
        <v>0.008683068017365901</v>
      </c>
    </row>
    <row r="1015" spans="1:5">
      <c r="A1015" s="13">
        <v>45444</v>
      </c>
      <c r="B1015" t="s">
        <v>213</v>
      </c>
      <c r="C1015" t="s">
        <v>217</v>
      </c>
      <c r="D1015" s="12">
        <v>176.6</v>
      </c>
      <c r="E1015" s="11">
        <v>-0.0205213533000555</v>
      </c>
    </row>
    <row r="1016" spans="1:5">
      <c r="A1016" s="13">
        <v>45444</v>
      </c>
      <c r="B1016" t="s">
        <v>215</v>
      </c>
      <c r="C1016" t="s">
        <v>216</v>
      </c>
      <c r="D1016" s="12">
        <v>165.1</v>
      </c>
      <c r="E1016" s="11">
        <v>0.0338134001252348</v>
      </c>
    </row>
    <row r="1017" spans="1:5">
      <c r="A1017" s="13">
        <v>45444</v>
      </c>
      <c r="B1017" t="s">
        <v>213</v>
      </c>
      <c r="C1017" t="s">
        <v>214</v>
      </c>
      <c r="D1017" s="12">
        <v>191.2</v>
      </c>
      <c r="E1017" s="11">
        <v>0.0230069555912251</v>
      </c>
    </row>
    <row r="1018" spans="1:5">
      <c r="A1018" s="13">
        <v>45444</v>
      </c>
      <c r="B1018" t="s">
        <v>221</v>
      </c>
      <c r="C1018" t="s">
        <v>218</v>
      </c>
      <c r="D1018" s="12">
        <v>198.2</v>
      </c>
      <c r="E1018" s="11">
        <v>0.0025290844714214</v>
      </c>
    </row>
    <row r="1019" spans="1:5">
      <c r="A1019" s="13">
        <v>45474</v>
      </c>
      <c r="B1019" t="s">
        <v>221</v>
      </c>
      <c r="C1019" t="s">
        <v>216</v>
      </c>
      <c r="D1019" s="12">
        <v>162.1</v>
      </c>
      <c r="E1019" s="11">
        <v>0.0253004427577483</v>
      </c>
    </row>
    <row r="1020" spans="1:5">
      <c r="A1020" s="13">
        <v>45474</v>
      </c>
      <c r="B1020" t="s">
        <v>221</v>
      </c>
      <c r="C1020" t="s">
        <v>214</v>
      </c>
      <c r="D1020" s="12">
        <v>188</v>
      </c>
      <c r="E1020" s="11">
        <v>0.0211841390548614</v>
      </c>
    </row>
    <row r="1021" spans="1:5">
      <c r="A1021" s="13">
        <v>45474</v>
      </c>
      <c r="B1021" t="s">
        <v>221</v>
      </c>
      <c r="C1021" t="s">
        <v>219</v>
      </c>
      <c r="D1021" s="12">
        <v>212.8</v>
      </c>
      <c r="E1021" s="11">
        <v>0.0295113691340107</v>
      </c>
    </row>
    <row r="1022" spans="1:5">
      <c r="A1022" s="13">
        <v>45474</v>
      </c>
      <c r="B1022" t="s">
        <v>221</v>
      </c>
      <c r="C1022" t="s">
        <v>218</v>
      </c>
      <c r="D1022" s="12">
        <v>199.1</v>
      </c>
      <c r="E1022" s="11">
        <v>-0.0010035122930256</v>
      </c>
    </row>
    <row r="1023" spans="1:5">
      <c r="A1023" s="13">
        <v>45474</v>
      </c>
      <c r="B1023" t="s">
        <v>221</v>
      </c>
      <c r="C1023" t="s">
        <v>217</v>
      </c>
      <c r="D1023" s="12">
        <v>179.4</v>
      </c>
      <c r="E1023" s="11">
        <v>0.0269032627361192</v>
      </c>
    </row>
    <row r="1024" spans="1:5">
      <c r="A1024" s="13">
        <v>45474</v>
      </c>
      <c r="B1024" t="s">
        <v>213</v>
      </c>
      <c r="C1024" t="s">
        <v>216</v>
      </c>
      <c r="D1024" s="12">
        <v>163.9</v>
      </c>
      <c r="E1024" s="11">
        <v>0.0269423558897243</v>
      </c>
    </row>
    <row r="1025" spans="1:5">
      <c r="A1025" s="13">
        <v>45474</v>
      </c>
      <c r="B1025" t="s">
        <v>213</v>
      </c>
      <c r="C1025" t="s">
        <v>214</v>
      </c>
      <c r="D1025" s="12">
        <v>191.5</v>
      </c>
      <c r="E1025" s="11">
        <v>0.0218783351120597</v>
      </c>
    </row>
    <row r="1026" spans="1:5">
      <c r="A1026" s="13">
        <v>45474</v>
      </c>
      <c r="B1026" t="s">
        <v>213</v>
      </c>
      <c r="C1026" t="s">
        <v>219</v>
      </c>
      <c r="D1026" s="12">
        <v>210.9</v>
      </c>
      <c r="E1026" s="11">
        <v>0.0333170014698678</v>
      </c>
    </row>
    <row r="1027" spans="1:5">
      <c r="A1027" s="13">
        <v>45474</v>
      </c>
      <c r="B1027" t="s">
        <v>213</v>
      </c>
      <c r="C1027" t="s">
        <v>220</v>
      </c>
      <c r="D1027" s="12">
        <v>180.7</v>
      </c>
      <c r="E1027" s="11">
        <v>0.0203274985883681</v>
      </c>
    </row>
    <row r="1028" spans="1:5">
      <c r="A1028" s="13">
        <v>45474</v>
      </c>
      <c r="B1028" t="s">
        <v>213</v>
      </c>
      <c r="C1028" t="s">
        <v>218</v>
      </c>
      <c r="D1028" s="12">
        <v>209.6</v>
      </c>
      <c r="E1028" s="11">
        <v>0.0043124101581217</v>
      </c>
    </row>
    <row r="1029" spans="1:5">
      <c r="A1029" s="13">
        <v>45474</v>
      </c>
      <c r="B1029" t="s">
        <v>213</v>
      </c>
      <c r="C1029" t="s">
        <v>217</v>
      </c>
      <c r="D1029" s="12">
        <v>178</v>
      </c>
      <c r="E1029" s="11">
        <v>0.0165619645916619</v>
      </c>
    </row>
    <row r="1030" spans="1:5">
      <c r="A1030" s="13">
        <v>45474</v>
      </c>
      <c r="B1030" t="s">
        <v>215</v>
      </c>
      <c r="C1030" t="s">
        <v>216</v>
      </c>
      <c r="D1030" s="12">
        <v>166.1</v>
      </c>
      <c r="E1030" s="11">
        <v>0.0310366232153942</v>
      </c>
    </row>
    <row r="1031" spans="1:5">
      <c r="A1031" s="13">
        <v>45474</v>
      </c>
      <c r="B1031" t="s">
        <v>221</v>
      </c>
      <c r="C1031" t="s">
        <v>220</v>
      </c>
      <c r="D1031" s="12">
        <v>174.4</v>
      </c>
      <c r="E1031" s="11">
        <v>0.0210772833723653</v>
      </c>
    </row>
    <row r="1032" spans="1:5">
      <c r="A1032" s="13">
        <v>45505</v>
      </c>
      <c r="B1032" t="s">
        <v>215</v>
      </c>
      <c r="C1032" t="s">
        <v>216</v>
      </c>
      <c r="D1032" s="12">
        <v>165.7</v>
      </c>
      <c r="E1032" s="11">
        <v>0.0266418835192068</v>
      </c>
    </row>
    <row r="1033" spans="1:5">
      <c r="A1033" s="13">
        <v>45505</v>
      </c>
      <c r="B1033" t="s">
        <v>213</v>
      </c>
      <c r="C1033" t="s">
        <v>217</v>
      </c>
      <c r="D1033" s="12">
        <v>175.2</v>
      </c>
      <c r="E1033" s="11">
        <v>0.0180127832655432</v>
      </c>
    </row>
    <row r="1034" spans="1:5">
      <c r="A1034" s="13">
        <v>45505</v>
      </c>
      <c r="B1034" t="s">
        <v>213</v>
      </c>
      <c r="C1034" t="s">
        <v>218</v>
      </c>
      <c r="D1034" s="12">
        <v>208.6</v>
      </c>
      <c r="E1034" s="11">
        <v>0.0062711046792087</v>
      </c>
    </row>
    <row r="1035" spans="1:5">
      <c r="A1035" s="13">
        <v>45505</v>
      </c>
      <c r="B1035" t="s">
        <v>213</v>
      </c>
      <c r="C1035" t="s">
        <v>219</v>
      </c>
      <c r="D1035" s="12">
        <v>211.8</v>
      </c>
      <c r="E1035" s="11">
        <v>0.0311587147030185</v>
      </c>
    </row>
    <row r="1036" spans="1:5">
      <c r="A1036" s="13">
        <v>45505</v>
      </c>
      <c r="B1036" t="s">
        <v>213</v>
      </c>
      <c r="C1036" t="s">
        <v>214</v>
      </c>
      <c r="D1036" s="12">
        <v>190.8</v>
      </c>
      <c r="E1036" s="11">
        <v>0.0214132762312633</v>
      </c>
    </row>
    <row r="1037" spans="1:5">
      <c r="A1037" s="13">
        <v>45505</v>
      </c>
      <c r="B1037" t="s">
        <v>213</v>
      </c>
      <c r="C1037" t="s">
        <v>220</v>
      </c>
      <c r="D1037" s="12">
        <v>179.4</v>
      </c>
      <c r="E1037" s="11">
        <v>0.026315789473684</v>
      </c>
    </row>
    <row r="1038" spans="1:5">
      <c r="A1038" s="13">
        <v>45505</v>
      </c>
      <c r="B1038" t="s">
        <v>221</v>
      </c>
      <c r="C1038" t="s">
        <v>217</v>
      </c>
      <c r="D1038" s="12">
        <v>176.3</v>
      </c>
      <c r="E1038" s="11">
        <v>0.0303915838690824</v>
      </c>
    </row>
    <row r="1039" spans="1:5">
      <c r="A1039" s="13">
        <v>45505</v>
      </c>
      <c r="B1039" t="s">
        <v>221</v>
      </c>
      <c r="C1039" t="s">
        <v>218</v>
      </c>
      <c r="D1039" s="12">
        <v>198.4</v>
      </c>
      <c r="E1039" s="11">
        <v>0.0025265285497726</v>
      </c>
    </row>
    <row r="1040" spans="1:5">
      <c r="A1040" s="13">
        <v>45505</v>
      </c>
      <c r="B1040" t="s">
        <v>221</v>
      </c>
      <c r="C1040" t="s">
        <v>220</v>
      </c>
      <c r="D1040" s="12">
        <v>174.4</v>
      </c>
      <c r="E1040" s="11">
        <v>0.0331753554502369</v>
      </c>
    </row>
    <row r="1041" spans="1:5">
      <c r="A1041" s="13">
        <v>45505</v>
      </c>
      <c r="B1041" t="s">
        <v>221</v>
      </c>
      <c r="C1041" t="s">
        <v>219</v>
      </c>
      <c r="D1041" s="12">
        <v>212.5</v>
      </c>
      <c r="E1041" s="11">
        <v>0.0285575992255566</v>
      </c>
    </row>
    <row r="1042" spans="1:5">
      <c r="A1042" s="13">
        <v>45505</v>
      </c>
      <c r="B1042" t="s">
        <v>221</v>
      </c>
      <c r="C1042" t="s">
        <v>214</v>
      </c>
      <c r="D1042" s="12">
        <v>187.7</v>
      </c>
      <c r="E1042" s="11">
        <v>0.0240043644298961</v>
      </c>
    </row>
    <row r="1043" spans="1:5">
      <c r="A1043" s="13">
        <v>45505</v>
      </c>
      <c r="B1043" t="s">
        <v>213</v>
      </c>
      <c r="C1043" t="s">
        <v>216</v>
      </c>
      <c r="D1043" s="12">
        <v>163.3</v>
      </c>
      <c r="E1043" s="11">
        <v>0.0212632895559725</v>
      </c>
    </row>
    <row r="1044" spans="1:5">
      <c r="A1044" s="13">
        <v>45505</v>
      </c>
      <c r="B1044" t="s">
        <v>221</v>
      </c>
      <c r="C1044" t="s">
        <v>216</v>
      </c>
      <c r="D1044" s="12">
        <v>161.8</v>
      </c>
      <c r="E1044" s="11">
        <v>0.019533711405167</v>
      </c>
    </row>
    <row r="1045" spans="1:5">
      <c r="A1045" s="13">
        <v>45536</v>
      </c>
      <c r="B1045" t="s">
        <v>215</v>
      </c>
      <c r="C1045" t="s">
        <v>216</v>
      </c>
      <c r="D1045" s="12">
        <v>165.2</v>
      </c>
      <c r="E1045" s="11">
        <v>0.0241785492870425</v>
      </c>
    </row>
    <row r="1046" spans="1:5">
      <c r="A1046" s="13">
        <v>45536</v>
      </c>
      <c r="B1046" t="s">
        <v>213</v>
      </c>
      <c r="C1046" t="s">
        <v>217</v>
      </c>
      <c r="D1046" s="12">
        <v>176.9</v>
      </c>
      <c r="E1046" s="11">
        <v>0.0266976204294833</v>
      </c>
    </row>
    <row r="1047" spans="1:5">
      <c r="A1047" s="13">
        <v>45536</v>
      </c>
      <c r="B1047" t="s">
        <v>213</v>
      </c>
      <c r="C1047" t="s">
        <v>220</v>
      </c>
      <c r="D1047" s="12">
        <v>181</v>
      </c>
      <c r="E1047" s="11">
        <v>0.0325156873930403</v>
      </c>
    </row>
    <row r="1048" spans="1:5">
      <c r="A1048" s="13">
        <v>45536</v>
      </c>
      <c r="B1048" t="s">
        <v>213</v>
      </c>
      <c r="C1048" t="s">
        <v>219</v>
      </c>
      <c r="D1048" s="12">
        <v>211.4</v>
      </c>
      <c r="E1048" s="11">
        <v>0.0322265625</v>
      </c>
    </row>
    <row r="1049" spans="1:5">
      <c r="A1049" s="13">
        <v>45536</v>
      </c>
      <c r="B1049" t="s">
        <v>213</v>
      </c>
      <c r="C1049" t="s">
        <v>214</v>
      </c>
      <c r="D1049" s="12">
        <v>190.6</v>
      </c>
      <c r="E1049" s="11">
        <v>0.0236305048335123</v>
      </c>
    </row>
    <row r="1050" spans="1:5">
      <c r="A1050" s="13">
        <v>45536</v>
      </c>
      <c r="B1050" t="s">
        <v>213</v>
      </c>
      <c r="C1050" t="s">
        <v>218</v>
      </c>
      <c r="D1050" s="12">
        <v>204</v>
      </c>
      <c r="E1050" s="11">
        <v>-0.0063321967851924</v>
      </c>
    </row>
    <row r="1051" spans="1:5">
      <c r="A1051" s="13">
        <v>45536</v>
      </c>
      <c r="B1051" t="s">
        <v>221</v>
      </c>
      <c r="C1051" t="s">
        <v>217</v>
      </c>
      <c r="D1051" s="12">
        <v>176.3</v>
      </c>
      <c r="E1051" s="11">
        <v>0.0315974253949677</v>
      </c>
    </row>
    <row r="1052" spans="1:5">
      <c r="A1052" s="13">
        <v>45536</v>
      </c>
      <c r="B1052" t="s">
        <v>213</v>
      </c>
      <c r="C1052" t="s">
        <v>216</v>
      </c>
      <c r="D1052" s="12">
        <v>162.8</v>
      </c>
      <c r="E1052" s="11">
        <v>0.0194113963681905</v>
      </c>
    </row>
    <row r="1053" spans="1:5">
      <c r="A1053" s="13">
        <v>45536</v>
      </c>
      <c r="B1053" t="s">
        <v>221</v>
      </c>
      <c r="C1053" t="s">
        <v>216</v>
      </c>
      <c r="D1053" s="12">
        <v>161.1</v>
      </c>
      <c r="E1053" s="11">
        <v>0.0164037854889589</v>
      </c>
    </row>
    <row r="1054" spans="1:5">
      <c r="A1054" s="13">
        <v>45536</v>
      </c>
      <c r="B1054" t="s">
        <v>221</v>
      </c>
      <c r="C1054" t="s">
        <v>220</v>
      </c>
      <c r="D1054" s="12">
        <v>174.2</v>
      </c>
      <c r="E1054" s="11">
        <v>0.0301596688350087</v>
      </c>
    </row>
    <row r="1055" spans="1:5">
      <c r="A1055" s="13">
        <v>45536</v>
      </c>
      <c r="B1055" t="s">
        <v>221</v>
      </c>
      <c r="C1055" t="s">
        <v>219</v>
      </c>
      <c r="D1055" s="12">
        <v>214</v>
      </c>
      <c r="E1055" s="11">
        <v>0.0313253012048193</v>
      </c>
    </row>
    <row r="1056" spans="1:5">
      <c r="A1056" s="13">
        <v>45536</v>
      </c>
      <c r="B1056" t="s">
        <v>221</v>
      </c>
      <c r="C1056" t="s">
        <v>218</v>
      </c>
      <c r="D1056" s="12">
        <v>196.4</v>
      </c>
      <c r="E1056" s="11">
        <v>-0.0015251652262328</v>
      </c>
    </row>
    <row r="1057" spans="1:5">
      <c r="A1057" s="13">
        <v>45536</v>
      </c>
      <c r="B1057" t="s">
        <v>221</v>
      </c>
      <c r="C1057" t="s">
        <v>214</v>
      </c>
      <c r="D1057" s="12">
        <v>187.5</v>
      </c>
      <c r="E1057" s="11">
        <v>0.0240305843801202</v>
      </c>
    </row>
    <row r="1058" spans="1:5">
      <c r="A1058" s="13">
        <v>45566</v>
      </c>
      <c r="B1058" t="s">
        <v>221</v>
      </c>
      <c r="C1058" t="s">
        <v>216</v>
      </c>
      <c r="D1058" s="12">
        <v>161.8</v>
      </c>
      <c r="E1058" s="11">
        <v>0.0201765447667088</v>
      </c>
    </row>
    <row r="1059" spans="1:5">
      <c r="A1059" s="13">
        <v>45566</v>
      </c>
      <c r="B1059" t="s">
        <v>221</v>
      </c>
      <c r="C1059" t="s">
        <v>214</v>
      </c>
      <c r="D1059" s="12">
        <v>187.4</v>
      </c>
      <c r="E1059" s="11">
        <v>0.0274122807017542</v>
      </c>
    </row>
    <row r="1060" spans="1:5">
      <c r="A1060" s="13">
        <v>45566</v>
      </c>
      <c r="B1060" t="s">
        <v>221</v>
      </c>
      <c r="C1060" t="s">
        <v>219</v>
      </c>
      <c r="D1060" s="12">
        <v>213.2</v>
      </c>
      <c r="E1060" s="11">
        <v>0.0339476236663434</v>
      </c>
    </row>
    <row r="1061" spans="1:5">
      <c r="A1061" s="13">
        <v>45566</v>
      </c>
      <c r="B1061" t="s">
        <v>221</v>
      </c>
      <c r="C1061" t="s">
        <v>220</v>
      </c>
      <c r="D1061" s="12">
        <v>174.1</v>
      </c>
      <c r="E1061" s="11">
        <v>0.0356930398572279</v>
      </c>
    </row>
    <row r="1062" spans="1:5">
      <c r="A1062" s="13">
        <v>45566</v>
      </c>
      <c r="B1062" t="s">
        <v>221</v>
      </c>
      <c r="C1062" t="s">
        <v>217</v>
      </c>
      <c r="D1062" s="12">
        <v>171.5</v>
      </c>
      <c r="E1062" s="11">
        <v>0.0281774580335729</v>
      </c>
    </row>
    <row r="1063" spans="1:5">
      <c r="A1063" s="13">
        <v>45566</v>
      </c>
      <c r="B1063" t="s">
        <v>213</v>
      </c>
      <c r="C1063" t="s">
        <v>216</v>
      </c>
      <c r="D1063" s="12">
        <v>163.5</v>
      </c>
      <c r="E1063" s="11">
        <v>0.0199625701809107</v>
      </c>
    </row>
    <row r="1064" spans="1:5">
      <c r="A1064" s="13">
        <v>45566</v>
      </c>
      <c r="B1064" t="s">
        <v>213</v>
      </c>
      <c r="C1064" t="s">
        <v>219</v>
      </c>
      <c r="D1064" s="12">
        <v>212.4</v>
      </c>
      <c r="E1064" s="11">
        <v>0.0452755905511812</v>
      </c>
    </row>
    <row r="1065" spans="1:5">
      <c r="A1065" s="13">
        <v>45566</v>
      </c>
      <c r="B1065" t="s">
        <v>213</v>
      </c>
      <c r="C1065" t="s">
        <v>220</v>
      </c>
      <c r="D1065" s="12">
        <v>179.4</v>
      </c>
      <c r="E1065" s="11">
        <v>0.0310344827586206</v>
      </c>
    </row>
    <row r="1066" spans="1:5">
      <c r="A1066" s="13">
        <v>45566</v>
      </c>
      <c r="B1066" t="s">
        <v>213</v>
      </c>
      <c r="C1066" t="s">
        <v>218</v>
      </c>
      <c r="D1066" s="12">
        <v>208.3</v>
      </c>
      <c r="E1066" s="11">
        <v>0.0101842870999031</v>
      </c>
    </row>
    <row r="1067" spans="1:5">
      <c r="A1067" s="13">
        <v>45566</v>
      </c>
      <c r="B1067" t="s">
        <v>213</v>
      </c>
      <c r="C1067" t="s">
        <v>217</v>
      </c>
      <c r="D1067" s="12">
        <v>172.5</v>
      </c>
      <c r="E1067" s="11">
        <v>0.0201064458900059</v>
      </c>
    </row>
    <row r="1068" spans="1:5">
      <c r="A1068" s="13">
        <v>45566</v>
      </c>
      <c r="B1068" t="s">
        <v>215</v>
      </c>
      <c r="C1068" t="s">
        <v>216</v>
      </c>
      <c r="D1068" s="12">
        <v>165.9</v>
      </c>
      <c r="E1068" s="11">
        <v>0.0228113440197288</v>
      </c>
    </row>
    <row r="1069" spans="1:5">
      <c r="A1069" s="13">
        <v>45566</v>
      </c>
      <c r="B1069" t="s">
        <v>221</v>
      </c>
      <c r="C1069" t="s">
        <v>218</v>
      </c>
      <c r="D1069" s="12">
        <v>199.1</v>
      </c>
      <c r="E1069" s="11">
        <v>0.0075910931174087</v>
      </c>
    </row>
    <row r="1070" spans="1:5">
      <c r="A1070" s="13">
        <v>45566</v>
      </c>
      <c r="B1070" t="s">
        <v>213</v>
      </c>
      <c r="C1070" t="s">
        <v>214</v>
      </c>
      <c r="D1070" s="12">
        <v>190.9</v>
      </c>
      <c r="E1070" s="11">
        <v>0.0285560344827586</v>
      </c>
    </row>
    <row r="1071" spans="1:5">
      <c r="A1071" s="13">
        <v>45597</v>
      </c>
      <c r="B1071" t="s">
        <v>221</v>
      </c>
      <c r="C1071" t="s">
        <v>218</v>
      </c>
      <c r="D1071" s="12">
        <v>200.2</v>
      </c>
      <c r="E1071" s="11">
        <v>0.0116220313289538</v>
      </c>
    </row>
    <row r="1072" spans="1:5">
      <c r="A1072" s="13">
        <v>45597</v>
      </c>
      <c r="B1072" t="s">
        <v>215</v>
      </c>
      <c r="C1072" t="s">
        <v>216</v>
      </c>
      <c r="D1072" s="12">
        <v>166</v>
      </c>
      <c r="E1072" s="11">
        <v>0.0227972889710412</v>
      </c>
    </row>
    <row r="1073" spans="1:5">
      <c r="A1073" s="13">
        <v>45597</v>
      </c>
      <c r="B1073" t="s">
        <v>213</v>
      </c>
      <c r="C1073" t="s">
        <v>217</v>
      </c>
      <c r="D1073" s="12">
        <v>176.4</v>
      </c>
      <c r="E1073" s="11">
        <v>-0.0045146726862301</v>
      </c>
    </row>
    <row r="1074" spans="1:5">
      <c r="A1074" s="13">
        <v>45597</v>
      </c>
      <c r="B1074" t="s">
        <v>213</v>
      </c>
      <c r="C1074" t="s">
        <v>218</v>
      </c>
      <c r="D1074" s="12">
        <v>208.6</v>
      </c>
      <c r="E1074" s="11">
        <v>0.0033670033670032</v>
      </c>
    </row>
    <row r="1075" spans="1:5">
      <c r="A1075" s="13">
        <v>45597</v>
      </c>
      <c r="B1075" t="s">
        <v>213</v>
      </c>
      <c r="C1075" t="s">
        <v>220</v>
      </c>
      <c r="D1075" s="12">
        <v>182.3</v>
      </c>
      <c r="E1075" s="11">
        <v>0.0311085972850677</v>
      </c>
    </row>
    <row r="1076" spans="1:5">
      <c r="A1076" s="13">
        <v>45597</v>
      </c>
      <c r="B1076" t="s">
        <v>213</v>
      </c>
      <c r="C1076" t="s">
        <v>219</v>
      </c>
      <c r="D1076" s="12">
        <v>213.1</v>
      </c>
      <c r="E1076" s="11">
        <v>0.0395121951219512</v>
      </c>
    </row>
    <row r="1077" spans="1:5">
      <c r="A1077" s="13">
        <v>45597</v>
      </c>
      <c r="B1077" t="s">
        <v>221</v>
      </c>
      <c r="C1077" t="s">
        <v>220</v>
      </c>
      <c r="D1077" s="12">
        <v>175.7</v>
      </c>
      <c r="E1077" s="11">
        <v>0.0335294117647058</v>
      </c>
    </row>
    <row r="1078" spans="1:5">
      <c r="A1078" s="13">
        <v>45597</v>
      </c>
      <c r="B1078" t="s">
        <v>213</v>
      </c>
      <c r="C1078" t="s">
        <v>216</v>
      </c>
      <c r="D1078" s="12">
        <v>163.5</v>
      </c>
      <c r="E1078" s="11">
        <v>0.0180572851805729</v>
      </c>
    </row>
    <row r="1079" spans="1:5">
      <c r="A1079" s="13">
        <v>45597</v>
      </c>
      <c r="B1079" t="s">
        <v>221</v>
      </c>
      <c r="C1079" t="s">
        <v>217</v>
      </c>
      <c r="D1079" s="12">
        <v>176.7</v>
      </c>
      <c r="E1079" s="11">
        <v>0.0056915196357427</v>
      </c>
    </row>
    <row r="1080" spans="1:5">
      <c r="A1080" s="13">
        <v>45597</v>
      </c>
      <c r="B1080" t="s">
        <v>221</v>
      </c>
      <c r="C1080" t="s">
        <v>216</v>
      </c>
      <c r="D1080" s="12">
        <v>161.8</v>
      </c>
      <c r="E1080" s="11">
        <v>0.0188916876574307</v>
      </c>
    </row>
    <row r="1081" spans="1:5">
      <c r="A1081" s="13">
        <v>45597</v>
      </c>
      <c r="B1081" t="s">
        <v>221</v>
      </c>
      <c r="C1081" t="s">
        <v>214</v>
      </c>
      <c r="D1081" s="12">
        <v>188.6</v>
      </c>
      <c r="E1081" s="11">
        <v>0.0255573681348557</v>
      </c>
    </row>
    <row r="1082" spans="1:5">
      <c r="A1082" s="13">
        <v>45597</v>
      </c>
      <c r="B1082" t="s">
        <v>221</v>
      </c>
      <c r="C1082" t="s">
        <v>219</v>
      </c>
      <c r="D1082" s="12">
        <v>214.6</v>
      </c>
      <c r="E1082" s="11">
        <v>0.033220991815118</v>
      </c>
    </row>
    <row r="1083" spans="1:5">
      <c r="A1083" s="13">
        <v>45597</v>
      </c>
      <c r="B1083" t="s">
        <v>213</v>
      </c>
      <c r="C1083" t="s">
        <v>214</v>
      </c>
      <c r="D1083" s="12">
        <v>192</v>
      </c>
      <c r="E1083" s="11">
        <v>0.0245464247598719</v>
      </c>
    </row>
    <row r="1084" spans="1:5">
      <c r="A1084" s="13">
        <v>45627</v>
      </c>
      <c r="B1084" t="s">
        <v>213</v>
      </c>
      <c r="C1084" t="s">
        <v>218</v>
      </c>
      <c r="D1084" s="12">
        <v>207.9</v>
      </c>
      <c r="E1084" s="11">
        <v>0.0048332527791203</v>
      </c>
    </row>
    <row r="1085" spans="1:5">
      <c r="A1085" s="13">
        <v>45627</v>
      </c>
      <c r="B1085" t="s">
        <v>213</v>
      </c>
      <c r="C1085" t="s">
        <v>220</v>
      </c>
      <c r="D1085" s="12">
        <v>179.8</v>
      </c>
      <c r="E1085" s="11">
        <v>0.0315547905909352</v>
      </c>
    </row>
    <row r="1086" spans="1:5">
      <c r="A1086" s="13">
        <v>45627</v>
      </c>
      <c r="B1086" t="s">
        <v>213</v>
      </c>
      <c r="C1086" t="s">
        <v>219</v>
      </c>
      <c r="D1086" s="12">
        <v>211.9</v>
      </c>
      <c r="E1086" s="11">
        <v>0.0417895771878071</v>
      </c>
    </row>
    <row r="1087" spans="1:5">
      <c r="A1087" s="13">
        <v>45627</v>
      </c>
      <c r="B1087" t="s">
        <v>213</v>
      </c>
      <c r="C1087" t="s">
        <v>214</v>
      </c>
      <c r="D1087" s="12">
        <v>191</v>
      </c>
      <c r="E1087" s="11">
        <v>0.0213903743315508</v>
      </c>
    </row>
    <row r="1088" spans="1:5">
      <c r="A1088" s="13">
        <v>45627</v>
      </c>
      <c r="B1088" t="s">
        <v>213</v>
      </c>
      <c r="C1088" t="s">
        <v>216</v>
      </c>
      <c r="D1088" s="12">
        <v>162.7</v>
      </c>
      <c r="E1088" s="11">
        <v>0.0168749999999999</v>
      </c>
    </row>
    <row r="1089" spans="1:5">
      <c r="A1089" s="13">
        <v>45627</v>
      </c>
      <c r="B1089" t="s">
        <v>221</v>
      </c>
      <c r="C1089" t="s">
        <v>220</v>
      </c>
      <c r="D1089" s="12">
        <v>174.3</v>
      </c>
      <c r="E1089" s="11">
        <v>0.0319715808170515</v>
      </c>
    </row>
    <row r="1090" spans="1:5">
      <c r="A1090" s="13">
        <v>45627</v>
      </c>
      <c r="B1090" t="s">
        <v>221</v>
      </c>
      <c r="C1090" t="s">
        <v>218</v>
      </c>
      <c r="D1090" s="12">
        <v>198</v>
      </c>
      <c r="E1090" s="11">
        <v>0.0005053057099544</v>
      </c>
    </row>
    <row r="1091" spans="1:5">
      <c r="A1091" s="13">
        <v>45627</v>
      </c>
      <c r="B1091" t="s">
        <v>221</v>
      </c>
      <c r="C1091" t="s">
        <v>219</v>
      </c>
      <c r="D1091" s="12">
        <v>213.9</v>
      </c>
      <c r="E1091" s="11">
        <v>0.0313404050144647</v>
      </c>
    </row>
    <row r="1092" spans="1:5">
      <c r="A1092" s="13">
        <v>45627</v>
      </c>
      <c r="B1092" t="s">
        <v>221</v>
      </c>
      <c r="C1092" t="s">
        <v>214</v>
      </c>
      <c r="D1092" s="12">
        <v>188</v>
      </c>
      <c r="E1092" s="11">
        <v>0.018970189701897</v>
      </c>
    </row>
    <row r="1093" spans="1:5">
      <c r="A1093" s="13">
        <v>45627</v>
      </c>
      <c r="B1093" t="s">
        <v>213</v>
      </c>
      <c r="C1093" t="s">
        <v>217</v>
      </c>
      <c r="D1093" s="12">
        <v>182.5</v>
      </c>
      <c r="E1093" s="11">
        <v>0.0127635960044396</v>
      </c>
    </row>
    <row r="1094" spans="1:5">
      <c r="A1094" s="13">
        <v>45627</v>
      </c>
      <c r="B1094" t="s">
        <v>221</v>
      </c>
      <c r="C1094" t="s">
        <v>217</v>
      </c>
      <c r="D1094" s="12">
        <v>181.5</v>
      </c>
      <c r="E1094" s="11">
        <v>0.0111420612813371</v>
      </c>
    </row>
    <row r="1095" spans="1:5">
      <c r="A1095" s="13">
        <v>45627</v>
      </c>
      <c r="B1095" t="s">
        <v>221</v>
      </c>
      <c r="C1095" t="s">
        <v>216</v>
      </c>
      <c r="D1095" s="12">
        <v>161.2</v>
      </c>
      <c r="E1095" s="11">
        <v>0.0183196462413137</v>
      </c>
    </row>
    <row r="1096" spans="1:5">
      <c r="A1096" s="13">
        <v>45627</v>
      </c>
      <c r="B1096" t="s">
        <v>215</v>
      </c>
      <c r="C1096" t="s">
        <v>216</v>
      </c>
      <c r="D1096" s="12">
        <v>165.4</v>
      </c>
      <c r="E1096" s="11">
        <v>0.0184729064039408</v>
      </c>
    </row>
    <row r="1097" spans="1:5">
      <c r="A1097" s="13">
        <v>45658</v>
      </c>
      <c r="B1097" t="s">
        <v>221</v>
      </c>
      <c r="C1097" t="s">
        <v>219</v>
      </c>
      <c r="D1097" s="12">
        <v>214</v>
      </c>
      <c r="E1097" s="11">
        <v>0.0249042145593869</v>
      </c>
    </row>
    <row r="1098" spans="1:5">
      <c r="A1098" s="13">
        <v>45658</v>
      </c>
      <c r="B1098" t="s">
        <v>221</v>
      </c>
      <c r="C1098" t="s">
        <v>214</v>
      </c>
      <c r="D1098" s="12">
        <v>189.5</v>
      </c>
      <c r="E1098" s="11">
        <v>0.0188172043010752</v>
      </c>
    </row>
    <row r="1099" spans="1:5">
      <c r="A1099" s="13">
        <v>45658</v>
      </c>
      <c r="B1099" t="s">
        <v>215</v>
      </c>
      <c r="C1099" t="s">
        <v>216</v>
      </c>
      <c r="D1099" s="12">
        <v>165</v>
      </c>
      <c r="E1099" s="11">
        <v>0.0185185185185186</v>
      </c>
    </row>
    <row r="1100" spans="1:5">
      <c r="A1100" s="13">
        <v>45658</v>
      </c>
      <c r="B1100" t="s">
        <v>213</v>
      </c>
      <c r="C1100" t="s">
        <v>217</v>
      </c>
      <c r="D1100" s="12">
        <v>190.6</v>
      </c>
      <c r="E1100" s="11">
        <v>0.0381263616557734</v>
      </c>
    </row>
    <row r="1101" spans="1:5">
      <c r="A1101" s="13">
        <v>45658</v>
      </c>
      <c r="B1101" t="s">
        <v>213</v>
      </c>
      <c r="C1101" t="s">
        <v>218</v>
      </c>
      <c r="D1101" s="12">
        <v>206.5</v>
      </c>
      <c r="E1101" s="11">
        <v>0.006825938566553</v>
      </c>
    </row>
    <row r="1102" spans="1:5">
      <c r="A1102" s="13">
        <v>45658</v>
      </c>
      <c r="B1102" t="s">
        <v>213</v>
      </c>
      <c r="C1102" t="s">
        <v>220</v>
      </c>
      <c r="D1102" s="12">
        <v>180</v>
      </c>
      <c r="E1102" s="11">
        <v>0.023890784982935</v>
      </c>
    </row>
    <row r="1103" spans="1:5">
      <c r="A1103" s="13">
        <v>45658</v>
      </c>
      <c r="B1103" t="s">
        <v>221</v>
      </c>
      <c r="C1103" t="s">
        <v>216</v>
      </c>
      <c r="D1103" s="12">
        <v>161.3</v>
      </c>
      <c r="E1103" s="11">
        <v>0.0189513581806695</v>
      </c>
    </row>
    <row r="1104" spans="1:5">
      <c r="A1104" s="13">
        <v>45658</v>
      </c>
      <c r="B1104" t="s">
        <v>213</v>
      </c>
      <c r="C1104" t="s">
        <v>214</v>
      </c>
      <c r="D1104" s="12">
        <v>192.3</v>
      </c>
      <c r="E1104" s="11">
        <v>0.0179989412387506</v>
      </c>
    </row>
    <row r="1105" spans="1:5">
      <c r="A1105" s="13">
        <v>45658</v>
      </c>
      <c r="B1105" t="s">
        <v>213</v>
      </c>
      <c r="C1105" t="s">
        <v>216</v>
      </c>
      <c r="D1105" s="12">
        <v>162.6</v>
      </c>
      <c r="E1105" s="11">
        <v>0.0168855534709193</v>
      </c>
    </row>
    <row r="1106" spans="1:5">
      <c r="A1106" s="13">
        <v>45658</v>
      </c>
      <c r="B1106" t="s">
        <v>221</v>
      </c>
      <c r="C1106" t="s">
        <v>217</v>
      </c>
      <c r="D1106" s="12">
        <v>188.6</v>
      </c>
      <c r="E1106" s="11">
        <v>0.0227765726681128</v>
      </c>
    </row>
    <row r="1107" spans="1:5">
      <c r="A1107" s="13">
        <v>45658</v>
      </c>
      <c r="B1107" t="s">
        <v>221</v>
      </c>
      <c r="C1107" t="s">
        <v>218</v>
      </c>
      <c r="D1107" s="12">
        <v>198.5</v>
      </c>
      <c r="E1107" s="11">
        <v>0.0076142131979695</v>
      </c>
    </row>
    <row r="1108" spans="1:5">
      <c r="A1108" s="13">
        <v>45658</v>
      </c>
      <c r="B1108" t="s">
        <v>221</v>
      </c>
      <c r="C1108" t="s">
        <v>220</v>
      </c>
      <c r="D1108" s="12">
        <v>174.6</v>
      </c>
      <c r="E1108" s="11">
        <v>0.0313053750738332</v>
      </c>
    </row>
    <row r="1109" spans="1:5">
      <c r="A1109" s="13">
        <v>45658</v>
      </c>
      <c r="B1109" t="s">
        <v>213</v>
      </c>
      <c r="C1109" t="s">
        <v>219</v>
      </c>
      <c r="D1109" s="12">
        <v>210.9</v>
      </c>
      <c r="E1109" s="11">
        <v>0.0227934044616877</v>
      </c>
    </row>
    <row r="1110" spans="1:5">
      <c r="A1110" s="13">
        <v>45689</v>
      </c>
      <c r="B1110" t="s">
        <v>215</v>
      </c>
      <c r="C1110" t="s">
        <v>216</v>
      </c>
      <c r="D1110" s="12">
        <v>166.8</v>
      </c>
      <c r="E1110" s="11">
        <v>0.028360049321825</v>
      </c>
    </row>
    <row r="1111" spans="1:5">
      <c r="A1111" s="13">
        <v>45689</v>
      </c>
      <c r="B1111" t="s">
        <v>213</v>
      </c>
      <c r="C1111" t="s">
        <v>217</v>
      </c>
      <c r="D1111" s="12">
        <v>188</v>
      </c>
      <c r="E1111" s="11">
        <v>0.0438645197112714</v>
      </c>
    </row>
    <row r="1112" spans="1:5">
      <c r="A1112" s="13">
        <v>45689</v>
      </c>
      <c r="B1112" t="s">
        <v>213</v>
      </c>
      <c r="C1112" t="s">
        <v>218</v>
      </c>
      <c r="D1112" s="12">
        <v>209.8</v>
      </c>
      <c r="E1112" s="11">
        <v>0.0199319397180361</v>
      </c>
    </row>
    <row r="1113" spans="1:5">
      <c r="A1113" s="13">
        <v>45689</v>
      </c>
      <c r="B1113" t="s">
        <v>213</v>
      </c>
      <c r="C1113" t="s">
        <v>219</v>
      </c>
      <c r="D1113" s="12">
        <v>210.7</v>
      </c>
      <c r="E1113" s="11">
        <v>0.0278048780487805</v>
      </c>
    </row>
    <row r="1114" spans="1:5">
      <c r="A1114" s="13">
        <v>45689</v>
      </c>
      <c r="B1114" t="s">
        <v>213</v>
      </c>
      <c r="C1114" t="s">
        <v>214</v>
      </c>
      <c r="D1114" s="12">
        <v>193.3</v>
      </c>
      <c r="E1114" s="11">
        <v>0.0287386907929749</v>
      </c>
    </row>
    <row r="1115" spans="1:5">
      <c r="A1115" s="13">
        <v>45689</v>
      </c>
      <c r="B1115" t="s">
        <v>221</v>
      </c>
      <c r="C1115" t="s">
        <v>218</v>
      </c>
      <c r="D1115" s="12">
        <v>201.9</v>
      </c>
      <c r="E1115" s="11">
        <v>0.0212443095599395</v>
      </c>
    </row>
    <row r="1116" spans="1:5">
      <c r="A1116" s="13">
        <v>45689</v>
      </c>
      <c r="B1116" t="s">
        <v>221</v>
      </c>
      <c r="C1116" t="s">
        <v>217</v>
      </c>
      <c r="D1116" s="12">
        <v>188</v>
      </c>
      <c r="E1116" s="11">
        <v>0.0250817884405669</v>
      </c>
    </row>
    <row r="1117" spans="1:5">
      <c r="A1117" s="13">
        <v>45689</v>
      </c>
      <c r="B1117" t="s">
        <v>221</v>
      </c>
      <c r="C1117" t="s">
        <v>220</v>
      </c>
      <c r="D1117" s="12">
        <v>175.9</v>
      </c>
      <c r="E1117" s="11">
        <v>0.0402128917800119</v>
      </c>
    </row>
    <row r="1118" spans="1:5">
      <c r="A1118" s="13">
        <v>45689</v>
      </c>
      <c r="B1118" t="s">
        <v>221</v>
      </c>
      <c r="C1118" t="s">
        <v>219</v>
      </c>
      <c r="D1118" s="12">
        <v>213.3</v>
      </c>
      <c r="E1118" s="11">
        <v>0.0344325897187198</v>
      </c>
    </row>
    <row r="1119" spans="1:5">
      <c r="A1119" s="13">
        <v>45689</v>
      </c>
      <c r="B1119" t="s">
        <v>221</v>
      </c>
      <c r="C1119" t="s">
        <v>216</v>
      </c>
      <c r="D1119" s="12">
        <v>163</v>
      </c>
      <c r="E1119" s="11">
        <v>0.0264483627204028</v>
      </c>
    </row>
    <row r="1120" spans="1:5">
      <c r="A1120" s="13">
        <v>45689</v>
      </c>
      <c r="B1120" t="s">
        <v>213</v>
      </c>
      <c r="C1120" t="s">
        <v>216</v>
      </c>
      <c r="D1120" s="12">
        <v>164.6</v>
      </c>
      <c r="E1120" s="11">
        <v>0.0274656679151061</v>
      </c>
    </row>
    <row r="1121" spans="1:5">
      <c r="A1121" s="13">
        <v>45689</v>
      </c>
      <c r="B1121" t="s">
        <v>221</v>
      </c>
      <c r="C1121" t="s">
        <v>214</v>
      </c>
      <c r="D1121" s="12">
        <v>190.8</v>
      </c>
      <c r="E1121" s="11">
        <v>0.0280172413793104</v>
      </c>
    </row>
    <row r="1122" spans="1:5">
      <c r="A1122" s="13">
        <v>45689</v>
      </c>
      <c r="B1122" t="s">
        <v>213</v>
      </c>
      <c r="C1122" t="s">
        <v>220</v>
      </c>
      <c r="D1122" s="12">
        <v>180.6</v>
      </c>
      <c r="E1122" s="11">
        <v>0.0343642611683849</v>
      </c>
    </row>
    <row r="1123" spans="1:5">
      <c r="A1123" s="13">
        <v>45717</v>
      </c>
      <c r="B1123" t="s">
        <v>221</v>
      </c>
      <c r="C1123" t="s">
        <v>217</v>
      </c>
      <c r="D1123" s="12">
        <v>180.7</v>
      </c>
      <c r="E1123" s="11">
        <v>0.0278725824800909</v>
      </c>
    </row>
    <row r="1124" spans="1:5">
      <c r="A1124" s="13">
        <v>45717</v>
      </c>
      <c r="B1124" t="s">
        <v>213</v>
      </c>
      <c r="C1124" t="s">
        <v>216</v>
      </c>
      <c r="D1124" s="12">
        <v>165.1</v>
      </c>
      <c r="E1124" s="11">
        <v>0.0229244114002478</v>
      </c>
    </row>
    <row r="1125" spans="1:5">
      <c r="A1125" s="13">
        <v>45717</v>
      </c>
      <c r="B1125" t="s">
        <v>213</v>
      </c>
      <c r="C1125" t="s">
        <v>217</v>
      </c>
      <c r="D1125" s="12">
        <v>178.6</v>
      </c>
      <c r="E1125" s="11">
        <v>0.0383720930232558</v>
      </c>
    </row>
    <row r="1126" spans="1:5">
      <c r="A1126" s="13">
        <v>45717</v>
      </c>
      <c r="B1126" t="s">
        <v>213</v>
      </c>
      <c r="C1126" t="s">
        <v>218</v>
      </c>
      <c r="D1126" s="12">
        <v>205.1</v>
      </c>
      <c r="E1126" s="11">
        <v>-0.0058167716917111</v>
      </c>
    </row>
    <row r="1127" spans="1:5">
      <c r="A1127" s="13">
        <v>45717</v>
      </c>
      <c r="B1127" t="s">
        <v>213</v>
      </c>
      <c r="C1127" t="s">
        <v>220</v>
      </c>
      <c r="D1127" s="12">
        <v>182.8</v>
      </c>
      <c r="E1127" s="11">
        <v>0.0362811791383219</v>
      </c>
    </row>
    <row r="1128" spans="1:5">
      <c r="A1128" s="13">
        <v>45717</v>
      </c>
      <c r="B1128" t="s">
        <v>213</v>
      </c>
      <c r="C1128" t="s">
        <v>219</v>
      </c>
      <c r="D1128" s="12">
        <v>213.6</v>
      </c>
      <c r="E1128" s="11">
        <v>0.0323827936201062</v>
      </c>
    </row>
    <row r="1129" spans="1:5">
      <c r="A1129" s="13">
        <v>45717</v>
      </c>
      <c r="B1129" t="s">
        <v>215</v>
      </c>
      <c r="C1129" t="s">
        <v>216</v>
      </c>
      <c r="D1129" s="12">
        <v>167</v>
      </c>
      <c r="E1129" s="11">
        <v>0.02203182374541</v>
      </c>
    </row>
    <row r="1130" spans="1:5">
      <c r="A1130" s="13">
        <v>45717</v>
      </c>
      <c r="B1130" t="s">
        <v>221</v>
      </c>
      <c r="C1130" t="s">
        <v>218</v>
      </c>
      <c r="D1130" s="12">
        <v>197.8</v>
      </c>
      <c r="E1130" s="11">
        <v>0.0040609137055838</v>
      </c>
    </row>
    <row r="1131" spans="1:5">
      <c r="A1131" s="13">
        <v>45717</v>
      </c>
      <c r="B1131" t="s">
        <v>221</v>
      </c>
      <c r="C1131" t="s">
        <v>220</v>
      </c>
      <c r="D1131" s="12">
        <v>177.6</v>
      </c>
      <c r="E1131" s="11">
        <v>0.0404217926186292</v>
      </c>
    </row>
    <row r="1132" spans="1:5">
      <c r="A1132" s="13">
        <v>45717</v>
      </c>
      <c r="B1132" t="s">
        <v>221</v>
      </c>
      <c r="C1132" t="s">
        <v>219</v>
      </c>
      <c r="D1132" s="12">
        <v>216.3</v>
      </c>
      <c r="E1132" s="11">
        <v>0.043918918918919</v>
      </c>
    </row>
    <row r="1133" spans="1:5">
      <c r="A1133" s="13">
        <v>45717</v>
      </c>
      <c r="B1133" t="s">
        <v>221</v>
      </c>
      <c r="C1133" t="s">
        <v>214</v>
      </c>
      <c r="D1133" s="12">
        <v>191</v>
      </c>
      <c r="E1133" s="11">
        <v>0.0318746623446786</v>
      </c>
    </row>
    <row r="1134" spans="1:5">
      <c r="A1134" s="13">
        <v>45717</v>
      </c>
      <c r="B1134" t="s">
        <v>213</v>
      </c>
      <c r="C1134" t="s">
        <v>214</v>
      </c>
      <c r="D1134" s="12">
        <v>193</v>
      </c>
      <c r="E1134" s="11">
        <v>0.0282365476824721</v>
      </c>
    </row>
    <row r="1135" spans="1:5">
      <c r="A1135" s="13">
        <v>45717</v>
      </c>
      <c r="B1135" t="s">
        <v>221</v>
      </c>
      <c r="C1135" t="s">
        <v>216</v>
      </c>
      <c r="D1135" s="12">
        <v>163.5</v>
      </c>
      <c r="E1135" s="11">
        <v>0.0231539424280349</v>
      </c>
    </row>
    <row r="1136" spans="1:5">
      <c r="A1136" s="13">
        <v>45748</v>
      </c>
      <c r="B1136" t="s">
        <v>221</v>
      </c>
      <c r="C1136" t="s">
        <v>216</v>
      </c>
      <c r="D1136" s="12">
        <v>163.4</v>
      </c>
      <c r="E1136" s="11">
        <v>0.0174346201743462</v>
      </c>
    </row>
    <row r="1137" spans="1:5">
      <c r="A1137" s="13">
        <v>45748</v>
      </c>
      <c r="B1137" t="s">
        <v>221</v>
      </c>
      <c r="C1137" t="s">
        <v>214</v>
      </c>
      <c r="D1137" s="12">
        <v>191.6</v>
      </c>
      <c r="E1137" s="11">
        <v>0.0384823848238482</v>
      </c>
    </row>
    <row r="1138" spans="1:5">
      <c r="A1138" s="13">
        <v>45748</v>
      </c>
      <c r="B1138" t="s">
        <v>221</v>
      </c>
      <c r="C1138" t="s">
        <v>219</v>
      </c>
      <c r="D1138" s="12">
        <v>219.2</v>
      </c>
      <c r="E1138" s="11">
        <v>0.0558766859344894</v>
      </c>
    </row>
    <row r="1139" spans="1:5">
      <c r="A1139" s="13">
        <v>45748</v>
      </c>
      <c r="B1139" t="s">
        <v>221</v>
      </c>
      <c r="C1139" t="s">
        <v>220</v>
      </c>
      <c r="D1139" s="12">
        <v>175.9</v>
      </c>
      <c r="E1139" s="11">
        <v>0.026853473438412</v>
      </c>
    </row>
    <row r="1140" spans="1:5">
      <c r="A1140" s="13">
        <v>45748</v>
      </c>
      <c r="B1140" t="s">
        <v>221</v>
      </c>
      <c r="C1140" t="s">
        <v>218</v>
      </c>
      <c r="D1140" s="12">
        <v>197.6</v>
      </c>
      <c r="E1140" s="11">
        <v>0.0030456852791878</v>
      </c>
    </row>
    <row r="1141" spans="1:5">
      <c r="A1141" s="13">
        <v>45748</v>
      </c>
      <c r="B1141" t="s">
        <v>221</v>
      </c>
      <c r="C1141" t="s">
        <v>217</v>
      </c>
      <c r="D1141" s="12">
        <v>179.7</v>
      </c>
      <c r="E1141" s="11">
        <v>0.043554006968641</v>
      </c>
    </row>
    <row r="1142" spans="1:5">
      <c r="A1142" s="13">
        <v>45748</v>
      </c>
      <c r="B1142" t="s">
        <v>213</v>
      </c>
      <c r="C1142" t="s">
        <v>216</v>
      </c>
      <c r="D1142" s="12">
        <v>164.8</v>
      </c>
      <c r="E1142" s="11">
        <v>0.0160295930949445</v>
      </c>
    </row>
    <row r="1143" spans="1:5">
      <c r="A1143" s="13">
        <v>45748</v>
      </c>
      <c r="B1143" t="s">
        <v>213</v>
      </c>
      <c r="C1143" t="s">
        <v>214</v>
      </c>
      <c r="D1143" s="12">
        <v>194</v>
      </c>
      <c r="E1143" s="11">
        <v>0.0352187833511206</v>
      </c>
    </row>
    <row r="1144" spans="1:5">
      <c r="A1144" s="13">
        <v>45748</v>
      </c>
      <c r="B1144" t="s">
        <v>213</v>
      </c>
      <c r="C1144" t="s">
        <v>219</v>
      </c>
      <c r="D1144" s="12">
        <v>217.6</v>
      </c>
      <c r="E1144" s="11">
        <v>0.0635386119257086</v>
      </c>
    </row>
    <row r="1145" spans="1:5">
      <c r="A1145" s="13">
        <v>45748</v>
      </c>
      <c r="B1145" t="s">
        <v>213</v>
      </c>
      <c r="C1145" t="s">
        <v>218</v>
      </c>
      <c r="D1145" s="12">
        <v>205.4</v>
      </c>
      <c r="E1145" s="11">
        <v>-0.0033964095099465</v>
      </c>
    </row>
    <row r="1146" spans="1:5">
      <c r="A1146" s="13">
        <v>45748</v>
      </c>
      <c r="B1146" t="s">
        <v>213</v>
      </c>
      <c r="C1146" t="s">
        <v>220</v>
      </c>
      <c r="D1146" s="12">
        <v>181.1</v>
      </c>
      <c r="E1146" s="11">
        <v>0.016273849607183</v>
      </c>
    </row>
    <row r="1147" spans="1:5">
      <c r="A1147" s="13">
        <v>45748</v>
      </c>
      <c r="B1147" t="s">
        <v>213</v>
      </c>
      <c r="C1147" t="s">
        <v>217</v>
      </c>
      <c r="D1147" s="12">
        <v>178.2</v>
      </c>
      <c r="E1147" s="11">
        <v>0.0396732788798133</v>
      </c>
    </row>
    <row r="1148" spans="1:5">
      <c r="A1148" s="13">
        <v>45748</v>
      </c>
      <c r="B1148" t="s">
        <v>215</v>
      </c>
      <c r="C1148" t="s">
        <v>216</v>
      </c>
      <c r="D1148" s="12">
        <v>166.8</v>
      </c>
      <c r="E1148" s="11">
        <v>0.0170731707317073</v>
      </c>
    </row>
    <row r="1149" spans="1:5">
      <c r="A1149" s="13">
        <v>45778</v>
      </c>
      <c r="B1149" t="s">
        <v>221</v>
      </c>
      <c r="C1149" t="s">
        <v>214</v>
      </c>
      <c r="D1149" s="12">
        <v>192.7</v>
      </c>
      <c r="E1149" s="11">
        <v>0.0332439678284182</v>
      </c>
    </row>
    <row r="1150" spans="1:5">
      <c r="A1150" s="13">
        <v>45778</v>
      </c>
      <c r="B1150" t="s">
        <v>221</v>
      </c>
      <c r="C1150" t="s">
        <v>219</v>
      </c>
      <c r="D1150" s="12">
        <v>221.2</v>
      </c>
      <c r="E1150" s="11">
        <v>0.0523311132254995</v>
      </c>
    </row>
    <row r="1151" spans="1:5">
      <c r="A1151" s="13">
        <v>45778</v>
      </c>
      <c r="B1151" t="s">
        <v>221</v>
      </c>
      <c r="C1151" t="s">
        <v>220</v>
      </c>
      <c r="D1151" s="12">
        <v>176.3</v>
      </c>
      <c r="E1151" s="11">
        <v>0.0309941520467837</v>
      </c>
    </row>
    <row r="1152" spans="1:5">
      <c r="A1152" s="13">
        <v>45778</v>
      </c>
      <c r="B1152" t="s">
        <v>221</v>
      </c>
      <c r="C1152" t="s">
        <v>218</v>
      </c>
      <c r="D1152" s="12">
        <v>199</v>
      </c>
      <c r="E1152" s="11">
        <v>0.0010060362173036</v>
      </c>
    </row>
    <row r="1153" spans="1:5">
      <c r="A1153" s="13">
        <v>45778</v>
      </c>
      <c r="B1153" t="s">
        <v>221</v>
      </c>
      <c r="C1153" t="s">
        <v>217</v>
      </c>
      <c r="D1153" s="12">
        <v>181.3</v>
      </c>
      <c r="E1153" s="11">
        <v>0.0231376975169301</v>
      </c>
    </row>
    <row r="1154" spans="1:5">
      <c r="A1154" s="13">
        <v>45778</v>
      </c>
      <c r="B1154" t="s">
        <v>213</v>
      </c>
      <c r="C1154" t="s">
        <v>214</v>
      </c>
      <c r="D1154" s="12">
        <v>195.3</v>
      </c>
      <c r="E1154" s="11">
        <v>0.0327868852459016</v>
      </c>
    </row>
    <row r="1155" spans="1:5">
      <c r="A1155" s="13">
        <v>45778</v>
      </c>
      <c r="B1155" t="s">
        <v>213</v>
      </c>
      <c r="C1155" t="s">
        <v>219</v>
      </c>
      <c r="D1155" s="12">
        <v>218.8</v>
      </c>
      <c r="E1155" s="11">
        <v>0.0544578313253012</v>
      </c>
    </row>
    <row r="1156" spans="1:5">
      <c r="A1156" s="13">
        <v>45778</v>
      </c>
      <c r="B1156" t="s">
        <v>213</v>
      </c>
      <c r="C1156" t="s">
        <v>220</v>
      </c>
      <c r="D1156" s="12">
        <v>181.1</v>
      </c>
      <c r="E1156" s="11">
        <v>0.0208568207440811</v>
      </c>
    </row>
    <row r="1157" spans="1:5">
      <c r="A1157" s="13">
        <v>45778</v>
      </c>
      <c r="B1157" t="s">
        <v>213</v>
      </c>
      <c r="C1157" t="s">
        <v>218</v>
      </c>
      <c r="D1157" s="12">
        <v>205.6</v>
      </c>
      <c r="E1157" s="11">
        <v>-0.0124879923150815</v>
      </c>
    </row>
    <row r="1158" spans="1:5">
      <c r="A1158" s="13">
        <v>45778</v>
      </c>
      <c r="B1158" t="s">
        <v>213</v>
      </c>
      <c r="C1158" t="s">
        <v>217</v>
      </c>
      <c r="D1158" s="12">
        <v>181.1</v>
      </c>
      <c r="E1158" s="11">
        <v>0.0366342301087578</v>
      </c>
    </row>
    <row r="1159" spans="1:5">
      <c r="A1159" s="13">
        <v>45778</v>
      </c>
      <c r="B1159" t="s">
        <v>215</v>
      </c>
      <c r="C1159" t="s">
        <v>216</v>
      </c>
      <c r="D1159" s="12">
        <v>168.1</v>
      </c>
      <c r="E1159" s="11">
        <v>0.0169388989715666</v>
      </c>
    </row>
    <row r="1160" spans="1:5">
      <c r="A1160" s="13">
        <v>45778</v>
      </c>
      <c r="B1160" t="s">
        <v>221</v>
      </c>
      <c r="C1160" t="s">
        <v>216</v>
      </c>
      <c r="D1160" s="12">
        <v>164.3</v>
      </c>
      <c r="E1160" s="11">
        <v>0.0173374613003096</v>
      </c>
    </row>
    <row r="1161" spans="1:5">
      <c r="A1161" s="13">
        <v>45778</v>
      </c>
      <c r="B1161" t="s">
        <v>213</v>
      </c>
      <c r="C1161" t="s">
        <v>216</v>
      </c>
      <c r="D1161" s="12">
        <v>165.9</v>
      </c>
      <c r="E1161" s="11">
        <v>0.0165441176470588</v>
      </c>
    </row>
    <row r="1162" spans="1:5">
      <c r="A1162" s="13">
        <v>45809</v>
      </c>
      <c r="B1162" t="s">
        <v>213</v>
      </c>
      <c r="C1162" t="s">
        <v>219</v>
      </c>
      <c r="D1162" s="12">
        <v>219.9</v>
      </c>
      <c r="E1162" s="11">
        <v>0.0511472275334607</v>
      </c>
    </row>
    <row r="1163" spans="1:5">
      <c r="A1163" s="13">
        <v>45809</v>
      </c>
      <c r="B1163" t="s">
        <v>221</v>
      </c>
      <c r="C1163" t="s">
        <v>214</v>
      </c>
      <c r="D1163" s="12">
        <v>192.8</v>
      </c>
      <c r="E1163" s="11">
        <v>0.0282666666666666</v>
      </c>
    </row>
    <row r="1164" spans="1:5">
      <c r="A1164" s="13">
        <v>45809</v>
      </c>
      <c r="B1164" t="s">
        <v>221</v>
      </c>
      <c r="C1164" t="s">
        <v>219</v>
      </c>
      <c r="D1164" s="12">
        <v>221.5</v>
      </c>
      <c r="E1164" s="11">
        <v>0.048272598201609</v>
      </c>
    </row>
    <row r="1165" spans="1:5">
      <c r="A1165" s="13">
        <v>45809</v>
      </c>
      <c r="B1165" t="s">
        <v>221</v>
      </c>
      <c r="C1165" t="s">
        <v>220</v>
      </c>
      <c r="D1165" s="12">
        <v>177</v>
      </c>
      <c r="E1165" s="11">
        <v>0.0189982728842832</v>
      </c>
    </row>
    <row r="1166" spans="1:5">
      <c r="A1166" s="13">
        <v>45809</v>
      </c>
      <c r="B1166" t="s">
        <v>221</v>
      </c>
      <c r="C1166" t="s">
        <v>216</v>
      </c>
      <c r="D1166" s="12">
        <v>164.4</v>
      </c>
      <c r="E1166" s="11">
        <v>0.0185873605947954</v>
      </c>
    </row>
    <row r="1167" spans="1:5">
      <c r="A1167" s="13">
        <v>45809</v>
      </c>
      <c r="B1167" t="s">
        <v>213</v>
      </c>
      <c r="C1167" t="s">
        <v>214</v>
      </c>
      <c r="D1167" s="12">
        <v>195.7</v>
      </c>
      <c r="E1167" s="11">
        <v>0.0235355648535564</v>
      </c>
    </row>
    <row r="1168" spans="1:5">
      <c r="A1168" s="13">
        <v>45809</v>
      </c>
      <c r="B1168" t="s">
        <v>221</v>
      </c>
      <c r="C1168" t="s">
        <v>217</v>
      </c>
      <c r="D1168" s="12">
        <v>177.1</v>
      </c>
      <c r="E1168" s="11">
        <v>-0.0050561797752809</v>
      </c>
    </row>
    <row r="1169" spans="1:5">
      <c r="A1169" s="13">
        <v>45809</v>
      </c>
      <c r="B1169" t="s">
        <v>213</v>
      </c>
      <c r="C1169" t="s">
        <v>216</v>
      </c>
      <c r="D1169" s="12">
        <v>166</v>
      </c>
      <c r="E1169" s="11">
        <v>0.0177805027590436</v>
      </c>
    </row>
    <row r="1170" spans="1:5">
      <c r="A1170" s="13">
        <v>45809</v>
      </c>
      <c r="B1170" t="s">
        <v>213</v>
      </c>
      <c r="C1170" t="s">
        <v>220</v>
      </c>
      <c r="D1170" s="12">
        <v>181.5</v>
      </c>
      <c r="E1170" s="11">
        <v>0.0060975609756097</v>
      </c>
    </row>
    <row r="1171" spans="1:5">
      <c r="A1171" s="13">
        <v>45809</v>
      </c>
      <c r="B1171" t="s">
        <v>213</v>
      </c>
      <c r="C1171" t="s">
        <v>218</v>
      </c>
      <c r="D1171" s="12">
        <v>206.1</v>
      </c>
      <c r="E1171" s="11">
        <v>-0.0143472022955524</v>
      </c>
    </row>
    <row r="1172" spans="1:5">
      <c r="A1172" s="13">
        <v>45809</v>
      </c>
      <c r="B1172" t="s">
        <v>213</v>
      </c>
      <c r="C1172" t="s">
        <v>217</v>
      </c>
      <c r="D1172" s="12">
        <v>177.9</v>
      </c>
      <c r="E1172" s="11">
        <v>0.0073612684031709</v>
      </c>
    </row>
    <row r="1173" spans="1:5">
      <c r="A1173" s="13">
        <v>45809</v>
      </c>
      <c r="B1173" t="s">
        <v>215</v>
      </c>
      <c r="C1173" t="s">
        <v>216</v>
      </c>
      <c r="D1173" s="12">
        <v>168.1</v>
      </c>
      <c r="E1173" s="11">
        <v>0.0181708055723803</v>
      </c>
    </row>
    <row r="1174" spans="1:5">
      <c r="A1174" s="13">
        <v>45809</v>
      </c>
      <c r="B1174" t="s">
        <v>221</v>
      </c>
      <c r="C1174" t="s">
        <v>218</v>
      </c>
      <c r="D1174" s="12">
        <v>198</v>
      </c>
      <c r="E1174" s="11">
        <v>-0.0010090817356205</v>
      </c>
    </row>
    <row r="1175" spans="1:5">
      <c r="A1175" s="13">
        <v>45839</v>
      </c>
      <c r="B1175" t="s">
        <v>213</v>
      </c>
      <c r="C1175" t="s">
        <v>214</v>
      </c>
      <c r="D1175" s="12">
        <v>197.3</v>
      </c>
      <c r="E1175" s="11">
        <v>0.0302872062663186</v>
      </c>
    </row>
    <row r="1176" spans="1:5">
      <c r="A1176" s="13">
        <v>45839</v>
      </c>
      <c r="B1176" t="s">
        <v>215</v>
      </c>
      <c r="C1176" t="s">
        <v>216</v>
      </c>
      <c r="D1176" s="12">
        <v>168.6</v>
      </c>
      <c r="E1176" s="11">
        <v>0.0150511739915712</v>
      </c>
    </row>
    <row r="1177" spans="1:5">
      <c r="A1177" s="13">
        <v>45839</v>
      </c>
      <c r="B1177" t="s">
        <v>213</v>
      </c>
      <c r="C1177" t="s">
        <v>219</v>
      </c>
      <c r="D1177" s="12">
        <v>219.7</v>
      </c>
      <c r="E1177" s="11">
        <v>0.0417259364627784</v>
      </c>
    </row>
    <row r="1178" spans="1:5">
      <c r="A1178" s="13">
        <v>45839</v>
      </c>
      <c r="B1178" t="s">
        <v>221</v>
      </c>
      <c r="C1178" t="s">
        <v>217</v>
      </c>
      <c r="D1178" s="12">
        <v>179.3</v>
      </c>
      <c r="E1178" s="11">
        <v>-0.0005574136008917</v>
      </c>
    </row>
    <row r="1179" spans="1:5">
      <c r="A1179" s="13">
        <v>45839</v>
      </c>
      <c r="B1179" t="s">
        <v>213</v>
      </c>
      <c r="C1179" t="s">
        <v>217</v>
      </c>
      <c r="D1179" s="12">
        <v>181.9</v>
      </c>
      <c r="E1179" s="11">
        <v>0.0219101123595506</v>
      </c>
    </row>
    <row r="1180" spans="1:5">
      <c r="A1180" s="13">
        <v>45839</v>
      </c>
      <c r="B1180" t="s">
        <v>213</v>
      </c>
      <c r="C1180" t="s">
        <v>218</v>
      </c>
      <c r="D1180" s="12">
        <v>209.3</v>
      </c>
      <c r="E1180" s="11">
        <v>-0.0014312977099235</v>
      </c>
    </row>
    <row r="1181" spans="1:5">
      <c r="A1181" s="13">
        <v>45839</v>
      </c>
      <c r="B1181" t="s">
        <v>221</v>
      </c>
      <c r="C1181" t="s">
        <v>218</v>
      </c>
      <c r="D1181" s="12">
        <v>200.5</v>
      </c>
      <c r="E1181" s="11">
        <v>0.0070316423907583</v>
      </c>
    </row>
    <row r="1182" spans="1:5">
      <c r="A1182" s="13">
        <v>45839</v>
      </c>
      <c r="B1182" t="s">
        <v>221</v>
      </c>
      <c r="C1182" t="s">
        <v>220</v>
      </c>
      <c r="D1182" s="12">
        <v>176.2</v>
      </c>
      <c r="E1182" s="11">
        <v>0.0103211009174311</v>
      </c>
    </row>
    <row r="1183" spans="1:5">
      <c r="A1183" s="13">
        <v>45839</v>
      </c>
      <c r="B1183" t="s">
        <v>221</v>
      </c>
      <c r="C1183" t="s">
        <v>219</v>
      </c>
      <c r="D1183" s="12">
        <v>222.8</v>
      </c>
      <c r="E1183" s="11">
        <v>0.0469924812030075</v>
      </c>
    </row>
    <row r="1184" spans="1:5">
      <c r="A1184" s="13">
        <v>45839</v>
      </c>
      <c r="B1184" t="s">
        <v>221</v>
      </c>
      <c r="C1184" t="s">
        <v>214</v>
      </c>
      <c r="D1184" s="12">
        <v>194.4</v>
      </c>
      <c r="E1184" s="11">
        <v>0.0340425531914894</v>
      </c>
    </row>
    <row r="1185" spans="1:5">
      <c r="A1185" s="13">
        <v>45839</v>
      </c>
      <c r="B1185" t="s">
        <v>221</v>
      </c>
      <c r="C1185" t="s">
        <v>216</v>
      </c>
      <c r="D1185" s="12">
        <v>164.9</v>
      </c>
      <c r="E1185" s="11">
        <v>0.0172732880937693</v>
      </c>
    </row>
    <row r="1186" spans="1:5">
      <c r="A1186" s="13">
        <v>45839</v>
      </c>
      <c r="B1186" t="s">
        <v>213</v>
      </c>
      <c r="C1186" t="s">
        <v>220</v>
      </c>
      <c r="D1186" s="12">
        <v>181.2</v>
      </c>
      <c r="E1186" s="11">
        <v>0.0027670171555063</v>
      </c>
    </row>
    <row r="1187" spans="1:5">
      <c r="A1187" s="13">
        <v>45839</v>
      </c>
      <c r="B1187" t="s">
        <v>213</v>
      </c>
      <c r="C1187" t="s">
        <v>216</v>
      </c>
      <c r="D1187" s="12">
        <v>166.5</v>
      </c>
      <c r="E1187" s="11">
        <v>0.0158633312995728</v>
      </c>
    </row>
    <row r="1188" spans="1:5">
      <c r="A1188" s="13">
        <v>45870</v>
      </c>
      <c r="B1188" t="s">
        <v>221</v>
      </c>
      <c r="C1188" t="s">
        <v>214</v>
      </c>
      <c r="D1188" s="12">
        <v>194.2</v>
      </c>
      <c r="E1188" s="11">
        <v>0.0346297282898242</v>
      </c>
    </row>
    <row r="1189" spans="1:5">
      <c r="A1189" s="13">
        <v>45870</v>
      </c>
      <c r="B1189" t="s">
        <v>221</v>
      </c>
      <c r="C1189" t="s">
        <v>216</v>
      </c>
      <c r="D1189" s="12">
        <v>164.8</v>
      </c>
      <c r="E1189" s="11">
        <v>0.0185414091470952</v>
      </c>
    </row>
    <row r="1190" spans="1:5">
      <c r="A1190" s="13">
        <v>45870</v>
      </c>
      <c r="B1190" t="s">
        <v>221</v>
      </c>
      <c r="C1190" t="s">
        <v>219</v>
      </c>
      <c r="D1190" s="12">
        <v>227.8</v>
      </c>
      <c r="E1190" s="11">
        <v>0.07199999999999999</v>
      </c>
    </row>
    <row r="1191" spans="1:5">
      <c r="A1191" s="13">
        <v>45870</v>
      </c>
      <c r="B1191" t="s">
        <v>221</v>
      </c>
      <c r="C1191" t="s">
        <v>218</v>
      </c>
      <c r="D1191" s="12">
        <v>199.5</v>
      </c>
      <c r="E1191" s="11">
        <v>0.0055443548387097</v>
      </c>
    </row>
    <row r="1192" spans="1:5">
      <c r="A1192" s="13">
        <v>45870</v>
      </c>
      <c r="B1192" t="s">
        <v>221</v>
      </c>
      <c r="C1192" t="s">
        <v>217</v>
      </c>
      <c r="D1192" s="12">
        <v>173.4</v>
      </c>
      <c r="E1192" s="11">
        <v>-0.0164492342597845</v>
      </c>
    </row>
    <row r="1193" spans="1:5">
      <c r="A1193" s="13">
        <v>45870</v>
      </c>
      <c r="B1193" t="s">
        <v>213</v>
      </c>
      <c r="C1193" t="s">
        <v>216</v>
      </c>
      <c r="D1193" s="12">
        <v>166</v>
      </c>
      <c r="E1193" s="11">
        <v>0.0165339865278628</v>
      </c>
    </row>
    <row r="1194" spans="1:5">
      <c r="A1194" s="13">
        <v>45870</v>
      </c>
      <c r="B1194" t="s">
        <v>213</v>
      </c>
      <c r="C1194" t="s">
        <v>214</v>
      </c>
      <c r="D1194" s="12">
        <v>196.9</v>
      </c>
      <c r="E1194" s="11">
        <v>0.0319706498951781</v>
      </c>
    </row>
    <row r="1195" spans="1:5">
      <c r="A1195" s="13">
        <v>45870</v>
      </c>
      <c r="B1195" t="s">
        <v>213</v>
      </c>
      <c r="C1195" t="s">
        <v>219</v>
      </c>
      <c r="D1195" s="12">
        <v>224.3</v>
      </c>
      <c r="E1195" s="11">
        <v>0.059017941454202</v>
      </c>
    </row>
    <row r="1196" spans="1:5">
      <c r="A1196" s="13">
        <v>45870</v>
      </c>
      <c r="B1196" t="s">
        <v>213</v>
      </c>
      <c r="C1196" t="s">
        <v>218</v>
      </c>
      <c r="D1196" s="12">
        <v>206.9</v>
      </c>
      <c r="E1196" s="11">
        <v>-0.008149568552253</v>
      </c>
    </row>
    <row r="1197" spans="1:5">
      <c r="A1197" s="13">
        <v>45870</v>
      </c>
      <c r="B1197" t="s">
        <v>213</v>
      </c>
      <c r="C1197" t="s">
        <v>217</v>
      </c>
      <c r="D1197" s="12">
        <v>176.9</v>
      </c>
      <c r="E1197" s="11">
        <v>0.0097031963470319</v>
      </c>
    </row>
    <row r="1198" spans="1:5">
      <c r="A1198" s="13">
        <v>45870</v>
      </c>
      <c r="B1198" t="s">
        <v>215</v>
      </c>
      <c r="C1198" t="s">
        <v>216</v>
      </c>
      <c r="D1198" s="12">
        <v>168.1</v>
      </c>
      <c r="E1198" s="11">
        <v>0.0144840072420036</v>
      </c>
    </row>
    <row r="1199" spans="1:5">
      <c r="A1199" s="13">
        <v>45870</v>
      </c>
      <c r="B1199" t="s">
        <v>221</v>
      </c>
      <c r="C1199" t="s">
        <v>220</v>
      </c>
      <c r="D1199" s="12">
        <v>177.7</v>
      </c>
      <c r="E1199" s="11">
        <v>0.0189220183486238</v>
      </c>
    </row>
    <row r="1200" spans="1:5">
      <c r="A1200" s="13">
        <v>45870</v>
      </c>
      <c r="B1200" t="s">
        <v>213</v>
      </c>
      <c r="C1200" t="s">
        <v>220</v>
      </c>
      <c r="D1200" s="12">
        <v>182.6</v>
      </c>
      <c r="E1200" s="11">
        <v>0.0178372352285394</v>
      </c>
    </row>
    <row r="1201" spans="1:5">
      <c r="A1201" s="13">
        <v>45901</v>
      </c>
      <c r="B1201" t="s">
        <v>213</v>
      </c>
      <c r="C1201" t="s">
        <v>220</v>
      </c>
      <c r="D1201" s="12">
        <v>181.1</v>
      </c>
      <c r="E1201" s="11">
        <v>0.0005524861878452</v>
      </c>
    </row>
    <row r="1202" spans="1:5">
      <c r="A1202" s="13">
        <v>45901</v>
      </c>
      <c r="B1202" t="s">
        <v>215</v>
      </c>
      <c r="C1202" t="s">
        <v>216</v>
      </c>
      <c r="D1202" s="12">
        <v>168.1</v>
      </c>
      <c r="E1202" s="11">
        <v>0.0175544794188862</v>
      </c>
    </row>
    <row r="1203" spans="1:5">
      <c r="A1203" s="13">
        <v>45901</v>
      </c>
      <c r="B1203" t="s">
        <v>221</v>
      </c>
      <c r="C1203" t="s">
        <v>216</v>
      </c>
      <c r="D1203" s="12">
        <v>164.9</v>
      </c>
      <c r="E1203" s="11">
        <v>0.0235878336436996</v>
      </c>
    </row>
    <row r="1204" spans="1:5">
      <c r="A1204" s="13">
        <v>45901</v>
      </c>
      <c r="B1204" t="s">
        <v>221</v>
      </c>
      <c r="C1204" t="s">
        <v>214</v>
      </c>
      <c r="D1204" s="12">
        <v>195</v>
      </c>
      <c r="E1204" s="11">
        <v>0.04</v>
      </c>
    </row>
    <row r="1205" spans="1:5">
      <c r="A1205" s="13">
        <v>45901</v>
      </c>
      <c r="B1205" t="s">
        <v>221</v>
      </c>
      <c r="C1205" t="s">
        <v>219</v>
      </c>
      <c r="D1205" s="12">
        <v>228.2</v>
      </c>
      <c r="E1205" s="11">
        <v>0.0663551401869158</v>
      </c>
    </row>
    <row r="1206" spans="1:5">
      <c r="A1206" s="13">
        <v>45901</v>
      </c>
      <c r="B1206" t="s">
        <v>221</v>
      </c>
      <c r="C1206" t="s">
        <v>220</v>
      </c>
      <c r="D1206" s="12">
        <v>176.7</v>
      </c>
      <c r="E1206" s="11">
        <v>0.0143513203214695</v>
      </c>
    </row>
    <row r="1207" spans="1:5">
      <c r="A1207" s="13">
        <v>45901</v>
      </c>
      <c r="B1207" t="s">
        <v>221</v>
      </c>
      <c r="C1207" t="s">
        <v>218</v>
      </c>
      <c r="D1207" s="12">
        <v>198.5</v>
      </c>
      <c r="E1207" s="11">
        <v>0.010692464358452</v>
      </c>
    </row>
    <row r="1208" spans="1:5">
      <c r="A1208" s="13">
        <v>45901</v>
      </c>
      <c r="B1208" t="s">
        <v>221</v>
      </c>
      <c r="C1208" t="s">
        <v>217</v>
      </c>
      <c r="D1208" s="12">
        <v>176.6</v>
      </c>
      <c r="E1208" s="11">
        <v>0.0017016449234259</v>
      </c>
    </row>
    <row r="1209" spans="1:5">
      <c r="A1209" s="13">
        <v>45901</v>
      </c>
      <c r="B1209" t="s">
        <v>213</v>
      </c>
      <c r="C1209" t="s">
        <v>216</v>
      </c>
      <c r="D1209" s="12">
        <v>166.1</v>
      </c>
      <c r="E1209" s="11">
        <v>0.0202702702702701</v>
      </c>
    </row>
    <row r="1210" spans="1:5">
      <c r="A1210" s="13">
        <v>45901</v>
      </c>
      <c r="B1210" t="s">
        <v>213</v>
      </c>
      <c r="C1210" t="s">
        <v>214</v>
      </c>
      <c r="D1210" s="12">
        <v>197.3</v>
      </c>
      <c r="E1210" s="11">
        <v>0.0351521511017838</v>
      </c>
    </row>
    <row r="1211" spans="1:5">
      <c r="A1211" s="13">
        <v>45901</v>
      </c>
      <c r="B1211" t="s">
        <v>213</v>
      </c>
      <c r="C1211" t="s">
        <v>219</v>
      </c>
      <c r="D1211" s="12">
        <v>223.9</v>
      </c>
      <c r="E1211" s="11">
        <v>0.0591296121097446</v>
      </c>
    </row>
    <row r="1212" spans="1:5">
      <c r="A1212" s="13">
        <v>45901</v>
      </c>
      <c r="B1212" t="s">
        <v>213</v>
      </c>
      <c r="C1212" t="s">
        <v>218</v>
      </c>
      <c r="D1212" s="12">
        <v>206.3</v>
      </c>
      <c r="E1212" s="11">
        <v>0.0112745098039215</v>
      </c>
    </row>
    <row r="1213" spans="1:5">
      <c r="A1213" s="13">
        <v>45901</v>
      </c>
      <c r="B1213" t="s">
        <v>213</v>
      </c>
      <c r="C1213" t="s">
        <v>217</v>
      </c>
      <c r="D1213" s="12">
        <v>178.5</v>
      </c>
      <c r="E1213" s="11">
        <v>0.0090446579988694</v>
      </c>
    </row>
    <row r="1214" spans="1:5">
      <c r="A1214" s="13">
        <v>45931</v>
      </c>
      <c r="B1214" t="s">
        <v>221</v>
      </c>
      <c r="C1214" t="s">
        <v>220</v>
      </c>
      <c r="D1214" s="12">
        <v>176.8</v>
      </c>
      <c r="E1214" s="11">
        <v>0.0155083285468122</v>
      </c>
    </row>
    <row r="1215" spans="1:5">
      <c r="A1215" s="13">
        <v>45931</v>
      </c>
      <c r="B1215" t="s">
        <v>221</v>
      </c>
      <c r="C1215" t="s">
        <v>216</v>
      </c>
      <c r="D1215" s="12">
        <v>165.3</v>
      </c>
      <c r="E1215" s="11">
        <v>0.0216316440049444</v>
      </c>
    </row>
    <row r="1216" spans="1:5">
      <c r="A1216" s="13">
        <v>45931</v>
      </c>
      <c r="B1216" t="s">
        <v>215</v>
      </c>
      <c r="C1216" t="s">
        <v>216</v>
      </c>
      <c r="D1216" s="12">
        <v>168.4</v>
      </c>
      <c r="E1216" s="11">
        <v>0.0150693188667871</v>
      </c>
    </row>
    <row r="1217" spans="1:5">
      <c r="A1217" s="13">
        <v>45931</v>
      </c>
      <c r="B1217" t="s">
        <v>213</v>
      </c>
      <c r="C1217" t="s">
        <v>217</v>
      </c>
      <c r="D1217" s="12">
        <v>169.7</v>
      </c>
      <c r="E1217" s="11">
        <v>-0.016231884057971</v>
      </c>
    </row>
    <row r="1218" spans="1:5">
      <c r="A1218" s="13">
        <v>45931</v>
      </c>
      <c r="B1218" t="s">
        <v>213</v>
      </c>
      <c r="C1218" t="s">
        <v>218</v>
      </c>
      <c r="D1218" s="12">
        <v>207.9</v>
      </c>
      <c r="E1218" s="11">
        <v>-0.0019203072491599</v>
      </c>
    </row>
    <row r="1219" spans="1:5">
      <c r="A1219" s="13">
        <v>45931</v>
      </c>
      <c r="B1219" t="s">
        <v>213</v>
      </c>
      <c r="C1219" t="s">
        <v>220</v>
      </c>
      <c r="D1219" s="12">
        <v>181.3</v>
      </c>
      <c r="E1219" s="11">
        <v>0.0105908584169454</v>
      </c>
    </row>
    <row r="1220" spans="1:5">
      <c r="A1220" s="13">
        <v>45931</v>
      </c>
      <c r="B1220" t="s">
        <v>213</v>
      </c>
      <c r="C1220" t="s">
        <v>219</v>
      </c>
      <c r="D1220" s="12">
        <v>230.1</v>
      </c>
      <c r="E1220" s="11">
        <v>0.0833333333333332</v>
      </c>
    </row>
    <row r="1221" spans="1:5">
      <c r="A1221" s="13">
        <v>45931</v>
      </c>
      <c r="B1221" t="s">
        <v>221</v>
      </c>
      <c r="C1221" t="s">
        <v>219</v>
      </c>
      <c r="D1221" s="12">
        <v>231.2</v>
      </c>
      <c r="E1221" s="11">
        <v>0.08442776735459651</v>
      </c>
    </row>
    <row r="1222" spans="1:5">
      <c r="A1222" s="13">
        <v>45931</v>
      </c>
      <c r="B1222" t="s">
        <v>213</v>
      </c>
      <c r="C1222" t="s">
        <v>214</v>
      </c>
      <c r="D1222" s="12">
        <v>196.4</v>
      </c>
      <c r="E1222" s="11">
        <v>0.0288108957569408</v>
      </c>
    </row>
    <row r="1223" spans="1:5">
      <c r="A1223" s="13">
        <v>45931</v>
      </c>
      <c r="B1223" t="s">
        <v>213</v>
      </c>
      <c r="C1223" t="s">
        <v>216</v>
      </c>
      <c r="D1223" s="12">
        <v>166.4</v>
      </c>
      <c r="E1223" s="11">
        <v>0.0177370030581041</v>
      </c>
    </row>
    <row r="1224" spans="1:5">
      <c r="A1224" s="13">
        <v>45931</v>
      </c>
      <c r="B1224" t="s">
        <v>221</v>
      </c>
      <c r="C1224" t="s">
        <v>217</v>
      </c>
      <c r="D1224" s="12">
        <v>169.6</v>
      </c>
      <c r="E1224" s="11">
        <v>-0.0110787172011662</v>
      </c>
    </row>
    <row r="1225" spans="1:5">
      <c r="A1225" s="13">
        <v>45931</v>
      </c>
      <c r="B1225" t="s">
        <v>221</v>
      </c>
      <c r="C1225" t="s">
        <v>218</v>
      </c>
      <c r="D1225" s="12">
        <v>199.6</v>
      </c>
      <c r="E1225" s="11">
        <v>0.0025113008538422</v>
      </c>
    </row>
    <row r="1226" spans="1:5">
      <c r="A1226" s="13">
        <v>45931</v>
      </c>
      <c r="B1226" t="s">
        <v>221</v>
      </c>
      <c r="C1226" t="s">
        <v>214</v>
      </c>
      <c r="D1226" s="12">
        <v>193.8</v>
      </c>
      <c r="E1226" s="11">
        <v>0.0341515474919957</v>
      </c>
    </row>
    <row r="1227" spans="1:5">
      <c r="A1227" s="13">
        <v>45962</v>
      </c>
      <c r="B1227" t="s">
        <v>213</v>
      </c>
      <c r="C1227" t="s">
        <v>218</v>
      </c>
      <c r="D1227" s="12">
        <v>212.4</v>
      </c>
      <c r="E1227" s="11">
        <v>0.0182166826462129</v>
      </c>
    </row>
    <row r="1228" spans="1:5">
      <c r="A1228" s="13">
        <v>45962</v>
      </c>
      <c r="B1228" t="s">
        <v>221</v>
      </c>
      <c r="C1228" t="s">
        <v>214</v>
      </c>
      <c r="D1228" s="12">
        <v>197.4</v>
      </c>
      <c r="E1228" s="11">
        <v>0.046659597030753</v>
      </c>
    </row>
    <row r="1229" spans="1:5">
      <c r="A1229" s="13">
        <v>45962</v>
      </c>
      <c r="B1229" t="s">
        <v>221</v>
      </c>
      <c r="C1229" t="s">
        <v>219</v>
      </c>
      <c r="D1229" s="12">
        <v>232.4</v>
      </c>
      <c r="E1229" s="11">
        <v>0.0829450139794967</v>
      </c>
    </row>
    <row r="1230" spans="1:5">
      <c r="A1230" s="13">
        <v>45962</v>
      </c>
      <c r="B1230" t="s">
        <v>221</v>
      </c>
      <c r="C1230" t="s">
        <v>220</v>
      </c>
      <c r="D1230" s="12">
        <v>176.3</v>
      </c>
      <c r="E1230" s="11">
        <v>0.0034149117814457</v>
      </c>
    </row>
    <row r="1231" spans="1:5">
      <c r="A1231" s="13">
        <v>45962</v>
      </c>
      <c r="B1231" t="s">
        <v>221</v>
      </c>
      <c r="C1231" t="s">
        <v>218</v>
      </c>
      <c r="D1231" s="12">
        <v>203.2</v>
      </c>
      <c r="E1231" s="11">
        <v>0.014985014985015</v>
      </c>
    </row>
    <row r="1232" spans="1:5">
      <c r="A1232" s="13">
        <v>45962</v>
      </c>
      <c r="B1232" t="s">
        <v>221</v>
      </c>
      <c r="C1232" t="s">
        <v>217</v>
      </c>
      <c r="D1232" s="12">
        <v>179.1</v>
      </c>
      <c r="E1232" s="11">
        <v>0.0135823429541597</v>
      </c>
    </row>
    <row r="1233" spans="1:5">
      <c r="A1233" s="13">
        <v>45962</v>
      </c>
      <c r="B1233" t="s">
        <v>213</v>
      </c>
      <c r="C1233" t="s">
        <v>216</v>
      </c>
      <c r="D1233" s="12">
        <v>166.6</v>
      </c>
      <c r="E1233" s="11">
        <v>0.0189602446483179</v>
      </c>
    </row>
    <row r="1234" spans="1:5">
      <c r="A1234" s="13">
        <v>45962</v>
      </c>
      <c r="B1234" t="s">
        <v>213</v>
      </c>
      <c r="C1234" t="s">
        <v>214</v>
      </c>
      <c r="D1234" s="12">
        <v>199.9</v>
      </c>
      <c r="E1234" s="11">
        <v>0.0411458333333334</v>
      </c>
    </row>
    <row r="1235" spans="1:5">
      <c r="A1235" s="13">
        <v>45962</v>
      </c>
      <c r="B1235" t="s">
        <v>213</v>
      </c>
      <c r="C1235" t="s">
        <v>219</v>
      </c>
      <c r="D1235" s="12">
        <v>231.9</v>
      </c>
      <c r="E1235" s="11">
        <v>0.0882214922571562</v>
      </c>
    </row>
    <row r="1236" spans="1:5">
      <c r="A1236" s="13">
        <v>45962</v>
      </c>
      <c r="B1236" t="s">
        <v>213</v>
      </c>
      <c r="C1236" t="s">
        <v>220</v>
      </c>
      <c r="D1236" s="12">
        <v>181.3</v>
      </c>
      <c r="E1236" s="11">
        <v>-0.0054854635216675</v>
      </c>
    </row>
    <row r="1237" spans="1:5">
      <c r="A1237" s="13">
        <v>45962</v>
      </c>
      <c r="B1237" t="s">
        <v>221</v>
      </c>
      <c r="C1237" t="s">
        <v>216</v>
      </c>
      <c r="D1237" s="12">
        <v>165.4</v>
      </c>
      <c r="E1237" s="11">
        <v>0.0222496909765141</v>
      </c>
    </row>
    <row r="1238" spans="1:5">
      <c r="A1238" s="13">
        <v>45962</v>
      </c>
      <c r="B1238" t="s">
        <v>215</v>
      </c>
      <c r="C1238" t="s">
        <v>216</v>
      </c>
      <c r="D1238" s="12">
        <v>168.6</v>
      </c>
      <c r="E1238" s="11">
        <v>0.0156626506024095</v>
      </c>
    </row>
    <row r="1239" spans="1:5">
      <c r="A1239" s="13">
        <v>45962</v>
      </c>
      <c r="B1239" t="s">
        <v>213</v>
      </c>
      <c r="C1239" t="s">
        <v>217</v>
      </c>
      <c r="D1239" s="12">
        <v>177.1</v>
      </c>
      <c r="E1239" s="11">
        <v>0.0039682539682539</v>
      </c>
    </row>
    <row r="1240" spans="1:5">
      <c r="A1240" s="13">
        <v>45992</v>
      </c>
      <c r="B1240" t="s">
        <v>221</v>
      </c>
      <c r="C1240" t="s">
        <v>216</v>
      </c>
      <c r="D1240" s="12">
        <v>165</v>
      </c>
      <c r="E1240" s="11">
        <v>0.0235732009925559</v>
      </c>
    </row>
    <row r="1241" spans="1:5">
      <c r="A1241" s="13">
        <v>45992</v>
      </c>
      <c r="B1241" t="s">
        <v>215</v>
      </c>
      <c r="C1241" t="s">
        <v>216</v>
      </c>
      <c r="D1241" s="12">
        <v>168.4</v>
      </c>
      <c r="E1241" s="11">
        <v>0.0181378476420797</v>
      </c>
    </row>
    <row r="1242" spans="1:5">
      <c r="A1242" s="13">
        <v>45992</v>
      </c>
      <c r="B1242" t="s">
        <v>213</v>
      </c>
      <c r="C1242" t="s">
        <v>217</v>
      </c>
      <c r="D1242" s="12">
        <v>184.6</v>
      </c>
      <c r="E1242" s="11">
        <v>0.0115068493150685</v>
      </c>
    </row>
    <row r="1243" spans="1:5">
      <c r="A1243" s="13">
        <v>45992</v>
      </c>
      <c r="B1243" t="s">
        <v>213</v>
      </c>
      <c r="C1243" t="s">
        <v>220</v>
      </c>
      <c r="D1243" s="12">
        <v>180.7</v>
      </c>
      <c r="E1243" s="11">
        <v>0.0050055617352613</v>
      </c>
    </row>
    <row r="1244" spans="1:5">
      <c r="A1244" s="13">
        <v>45992</v>
      </c>
      <c r="B1244" t="s">
        <v>213</v>
      </c>
      <c r="C1244" t="s">
        <v>219</v>
      </c>
      <c r="D1244" s="12">
        <v>230.1</v>
      </c>
      <c r="E1244" s="11">
        <v>0.0858895705521471</v>
      </c>
    </row>
    <row r="1245" spans="1:5">
      <c r="A1245" s="13">
        <v>45992</v>
      </c>
      <c r="B1245" t="s">
        <v>213</v>
      </c>
      <c r="C1245" t="s">
        <v>214</v>
      </c>
      <c r="D1245" s="12">
        <v>200.2</v>
      </c>
      <c r="E1245" s="11">
        <v>0.0481675392670155</v>
      </c>
    </row>
    <row r="1246" spans="1:5">
      <c r="A1246" s="13">
        <v>45992</v>
      </c>
      <c r="B1246" t="s">
        <v>213</v>
      </c>
      <c r="C1246" t="s">
        <v>218</v>
      </c>
      <c r="D1246" s="12">
        <v>212.4</v>
      </c>
      <c r="E1246" s="11">
        <v>0.0216450216450216</v>
      </c>
    </row>
    <row r="1247" spans="1:5">
      <c r="A1247" s="13">
        <v>45992</v>
      </c>
      <c r="B1247" t="s">
        <v>221</v>
      </c>
      <c r="C1247" t="s">
        <v>217</v>
      </c>
      <c r="D1247" s="12">
        <v>183.6</v>
      </c>
      <c r="E1247" s="11">
        <v>0.0115702479338841</v>
      </c>
    </row>
    <row r="1248" spans="1:5">
      <c r="A1248" s="13">
        <v>45992</v>
      </c>
      <c r="B1248" t="s">
        <v>221</v>
      </c>
      <c r="C1248" t="s">
        <v>218</v>
      </c>
      <c r="D1248" s="12">
        <v>202.8</v>
      </c>
      <c r="E1248" s="11">
        <v>0.0242424242424244</v>
      </c>
    </row>
    <row r="1249" spans="1:5">
      <c r="A1249" s="13">
        <v>45992</v>
      </c>
      <c r="B1249" t="s">
        <v>221</v>
      </c>
      <c r="C1249" t="s">
        <v>220</v>
      </c>
      <c r="D1249" s="12">
        <v>176.7</v>
      </c>
      <c r="E1249" s="11">
        <v>0.0137693631669533</v>
      </c>
    </row>
    <row r="1250" spans="1:5">
      <c r="A1250" s="13">
        <v>45992</v>
      </c>
      <c r="B1250" t="s">
        <v>221</v>
      </c>
      <c r="C1250" t="s">
        <v>219</v>
      </c>
      <c r="D1250" s="12">
        <v>232</v>
      </c>
      <c r="E1250" s="11">
        <v>0.0846189808321644</v>
      </c>
    </row>
    <row r="1251" spans="1:5">
      <c r="A1251" s="13">
        <v>45992</v>
      </c>
      <c r="B1251" t="s">
        <v>221</v>
      </c>
      <c r="C1251" t="s">
        <v>214</v>
      </c>
      <c r="D1251" s="12">
        <v>197.4</v>
      </c>
      <c r="E1251" s="11">
        <v>0.05</v>
      </c>
    </row>
    <row r="1252" spans="1:5">
      <c r="A1252" s="13">
        <v>45992</v>
      </c>
      <c r="B1252" t="s">
        <v>213</v>
      </c>
      <c r="C1252" t="s">
        <v>216</v>
      </c>
      <c r="D1252" s="12">
        <v>166.1</v>
      </c>
      <c r="E1252" s="11">
        <v>0.0208973570989552</v>
      </c>
    </row>
    <row r="1253" spans="1:5">
      <c r="A1253" s="13">
        <v>46023</v>
      </c>
      <c r="B1253" t="s">
        <v>221</v>
      </c>
      <c r="C1253" t="s">
        <v>216</v>
      </c>
      <c r="D1253" s="12">
        <v>165</v>
      </c>
      <c r="E1253" s="11">
        <v>0.022938623682579</v>
      </c>
    </row>
    <row r="1254" spans="1:5">
      <c r="A1254" s="13">
        <v>46023</v>
      </c>
      <c r="B1254" t="s">
        <v>221</v>
      </c>
      <c r="C1254" t="s">
        <v>214</v>
      </c>
      <c r="D1254" s="12">
        <v>198.6</v>
      </c>
      <c r="E1254" s="11">
        <v>0.0480211081794195</v>
      </c>
    </row>
    <row r="1255" spans="1:5">
      <c r="A1255" s="13">
        <v>46023</v>
      </c>
      <c r="B1255" t="s">
        <v>221</v>
      </c>
      <c r="C1255" t="s">
        <v>219</v>
      </c>
      <c r="D1255" s="12">
        <v>234.1</v>
      </c>
      <c r="E1255" s="11">
        <v>0.0939252336448597</v>
      </c>
    </row>
    <row r="1256" spans="1:5">
      <c r="A1256" s="13">
        <v>46023</v>
      </c>
      <c r="B1256" t="s">
        <v>221</v>
      </c>
      <c r="C1256" t="s">
        <v>220</v>
      </c>
      <c r="D1256" s="12">
        <v>178.2</v>
      </c>
      <c r="E1256" s="11">
        <v>0.0206185567010308</v>
      </c>
    </row>
    <row r="1257" spans="1:5">
      <c r="A1257" s="13">
        <v>46023</v>
      </c>
      <c r="B1257" t="s">
        <v>221</v>
      </c>
      <c r="C1257" t="s">
        <v>218</v>
      </c>
      <c r="D1257" s="12">
        <v>201.7</v>
      </c>
      <c r="E1257" s="11">
        <v>0.0161209068010075</v>
      </c>
    </row>
    <row r="1258" spans="1:5">
      <c r="A1258" s="13">
        <v>46023</v>
      </c>
      <c r="B1258" t="s">
        <v>221</v>
      </c>
      <c r="C1258" t="s">
        <v>217</v>
      </c>
      <c r="D1258" s="12">
        <v>183.6</v>
      </c>
      <c r="E1258" s="11">
        <v>-0.0265111346765641</v>
      </c>
    </row>
    <row r="1259" spans="1:5">
      <c r="A1259" s="13">
        <v>46023</v>
      </c>
      <c r="B1259" t="s">
        <v>213</v>
      </c>
      <c r="C1259" t="s">
        <v>216</v>
      </c>
      <c r="D1259" s="12">
        <v>165.9</v>
      </c>
      <c r="E1259" s="11">
        <v>0.0202952029520295</v>
      </c>
    </row>
    <row r="1260" spans="1:5">
      <c r="A1260" s="13">
        <v>46023</v>
      </c>
      <c r="B1260" t="s">
        <v>213</v>
      </c>
      <c r="C1260" t="s">
        <v>214</v>
      </c>
      <c r="D1260" s="12">
        <v>201.7</v>
      </c>
      <c r="E1260" s="11">
        <v>0.0488819552782109</v>
      </c>
    </row>
    <row r="1261" spans="1:5">
      <c r="A1261" s="13">
        <v>46023</v>
      </c>
      <c r="B1261" t="s">
        <v>215</v>
      </c>
      <c r="C1261" t="s">
        <v>216</v>
      </c>
      <c r="D1261" s="12">
        <v>167.7</v>
      </c>
      <c r="E1261" s="11">
        <v>0.0163636363636363</v>
      </c>
    </row>
    <row r="1262" spans="1:5">
      <c r="A1262" s="13">
        <v>46023</v>
      </c>
      <c r="B1262" t="s">
        <v>213</v>
      </c>
      <c r="C1262" t="s">
        <v>218</v>
      </c>
      <c r="D1262" s="12">
        <v>209.9</v>
      </c>
      <c r="E1262" s="11">
        <v>0.0164648910411622</v>
      </c>
    </row>
    <row r="1263" spans="1:5">
      <c r="A1263" s="13">
        <v>46023</v>
      </c>
      <c r="B1263" t="s">
        <v>213</v>
      </c>
      <c r="C1263" t="s">
        <v>219</v>
      </c>
      <c r="D1263" s="12">
        <v>233.1</v>
      </c>
      <c r="E1263" s="11">
        <v>0.1052631578947367</v>
      </c>
    </row>
    <row r="1264" spans="1:5">
      <c r="A1264" s="13">
        <v>46023</v>
      </c>
      <c r="B1264" t="s">
        <v>213</v>
      </c>
      <c r="C1264" t="s">
        <v>217</v>
      </c>
      <c r="D1264" s="12">
        <v>184.7</v>
      </c>
      <c r="E1264" s="11">
        <v>-0.0309548793284365</v>
      </c>
    </row>
    <row r="1265" spans="1:5">
      <c r="A1265" s="13">
        <v>46023</v>
      </c>
      <c r="B1265" t="s">
        <v>213</v>
      </c>
      <c r="C1265" t="s">
        <v>220</v>
      </c>
      <c r="D1265" s="12">
        <v>183.4</v>
      </c>
      <c r="E1265" s="11">
        <v>0.0188888888888889</v>
      </c>
    </row>
    <row r="1266" spans="1:5">
      <c r="A1266" s="13">
        <v>46054</v>
      </c>
      <c r="B1266" t="s">
        <v>213</v>
      </c>
      <c r="C1266" t="s">
        <v>219</v>
      </c>
      <c r="D1266" s="12">
        <v>228.8</v>
      </c>
      <c r="E1266" s="11">
        <v>0.0859041290934978</v>
      </c>
    </row>
    <row r="1267" spans="1:5">
      <c r="A1267" s="13">
        <v>46054</v>
      </c>
      <c r="B1267" t="s">
        <v>221</v>
      </c>
      <c r="C1267" t="s">
        <v>216</v>
      </c>
      <c r="D1267" s="12">
        <v>165.9</v>
      </c>
      <c r="E1267" s="11">
        <v>0.0177914110429449</v>
      </c>
    </row>
    <row r="1268" spans="1:5">
      <c r="A1268" s="13">
        <v>46054</v>
      </c>
      <c r="B1268" t="s">
        <v>221</v>
      </c>
      <c r="C1268" t="s">
        <v>214</v>
      </c>
      <c r="D1268" s="12">
        <v>198.6</v>
      </c>
      <c r="E1268" s="11">
        <v>0.0408805031446539</v>
      </c>
    </row>
    <row r="1269" spans="1:5">
      <c r="A1269" s="13">
        <v>46054</v>
      </c>
      <c r="B1269" t="s">
        <v>221</v>
      </c>
      <c r="C1269" t="s">
        <v>219</v>
      </c>
      <c r="D1269" s="12">
        <v>230.7</v>
      </c>
      <c r="E1269" s="11">
        <v>0.0815752461322081</v>
      </c>
    </row>
    <row r="1270" spans="1:5">
      <c r="A1270" s="13">
        <v>46054</v>
      </c>
      <c r="B1270" t="s">
        <v>221</v>
      </c>
      <c r="C1270" t="s">
        <v>220</v>
      </c>
      <c r="D1270" s="12">
        <v>178.7</v>
      </c>
      <c r="E1270" s="11">
        <v>0.0159181353041499</v>
      </c>
    </row>
    <row r="1271" spans="1:5">
      <c r="A1271" s="13">
        <v>46054</v>
      </c>
      <c r="B1271" t="s">
        <v>221</v>
      </c>
      <c r="C1271" t="s">
        <v>218</v>
      </c>
      <c r="D1271" s="12">
        <v>204.1</v>
      </c>
      <c r="E1271" s="11">
        <v>0.0108964834076275</v>
      </c>
    </row>
    <row r="1272" spans="1:5">
      <c r="A1272" s="13">
        <v>46054</v>
      </c>
      <c r="B1272" t="s">
        <v>221</v>
      </c>
      <c r="C1272" t="s">
        <v>217</v>
      </c>
      <c r="D1272" s="12">
        <v>184.7</v>
      </c>
      <c r="E1272" s="11">
        <v>-0.0175531914893617</v>
      </c>
    </row>
    <row r="1273" spans="1:5">
      <c r="A1273" s="13">
        <v>46054</v>
      </c>
      <c r="B1273" t="s">
        <v>213</v>
      </c>
      <c r="C1273" t="s">
        <v>216</v>
      </c>
      <c r="D1273" s="12">
        <v>166.7</v>
      </c>
      <c r="E1273" s="11">
        <v>0.0127582017010934</v>
      </c>
    </row>
    <row r="1274" spans="1:5">
      <c r="A1274" s="13">
        <v>46054</v>
      </c>
      <c r="B1274" t="s">
        <v>213</v>
      </c>
      <c r="C1274" t="s">
        <v>214</v>
      </c>
      <c r="D1274" s="12">
        <v>201.2</v>
      </c>
      <c r="E1274" s="11">
        <v>0.040869115364718</v>
      </c>
    </row>
    <row r="1275" spans="1:5">
      <c r="A1275" s="13">
        <v>46054</v>
      </c>
      <c r="B1275" t="s">
        <v>213</v>
      </c>
      <c r="C1275" t="s">
        <v>220</v>
      </c>
      <c r="D1275" s="12">
        <v>183.4</v>
      </c>
      <c r="E1275" s="11">
        <v>0.0155038759689922</v>
      </c>
    </row>
    <row r="1276" spans="1:5">
      <c r="A1276" s="13">
        <v>46054</v>
      </c>
      <c r="B1276" t="s">
        <v>213</v>
      </c>
      <c r="C1276" t="s">
        <v>218</v>
      </c>
      <c r="D1276" s="12">
        <v>210.9</v>
      </c>
      <c r="E1276" s="11">
        <v>0.0052430886558627</v>
      </c>
    </row>
    <row r="1277" spans="1:5">
      <c r="A1277" s="13">
        <v>46054</v>
      </c>
      <c r="B1277" t="s">
        <v>213</v>
      </c>
      <c r="C1277" t="s">
        <v>217</v>
      </c>
      <c r="D1277" s="12">
        <v>184.9</v>
      </c>
      <c r="E1277" s="11">
        <v>-0.0164893617021276</v>
      </c>
    </row>
    <row r="1278" spans="1:5">
      <c r="A1278" s="13">
        <v>46054</v>
      </c>
      <c r="B1278" t="s">
        <v>215</v>
      </c>
      <c r="C1278" t="s">
        <v>216</v>
      </c>
      <c r="D1278" s="12">
        <v>168.4</v>
      </c>
      <c r="E1278" s="11">
        <v>0.0095923261390886</v>
      </c>
    </row>
    <row r="1279" spans="1:5">
      <c r="A1279" s="13">
        <v>46082</v>
      </c>
      <c r="B1279" t="s">
        <v>221</v>
      </c>
      <c r="C1279" t="s">
        <v>220</v>
      </c>
      <c r="D1279" s="12">
        <v>181</v>
      </c>
      <c r="E1279" s="11">
        <v>0.0191441441441442</v>
      </c>
    </row>
    <row r="1280" spans="1:5">
      <c r="A1280" s="13">
        <v>46082</v>
      </c>
      <c r="B1280" t="s">
        <v>221</v>
      </c>
      <c r="C1280" t="s">
        <v>219</v>
      </c>
      <c r="D1280" s="12">
        <v>232.7</v>
      </c>
      <c r="E1280" s="11">
        <v>0.07582061950993969</v>
      </c>
    </row>
    <row r="1281" spans="1:5">
      <c r="A1281" s="13">
        <v>46082</v>
      </c>
      <c r="B1281" t="s">
        <v>213</v>
      </c>
      <c r="C1281" t="s">
        <v>216</v>
      </c>
      <c r="D1281" s="12">
        <v>168.2</v>
      </c>
      <c r="E1281" s="11">
        <v>0.0187764990914596</v>
      </c>
    </row>
    <row r="1282" spans="1:5">
      <c r="A1282" s="13">
        <v>46082</v>
      </c>
      <c r="B1282" t="s">
        <v>221</v>
      </c>
      <c r="C1282" t="s">
        <v>216</v>
      </c>
      <c r="D1282" s="12">
        <v>167.4</v>
      </c>
      <c r="E1282" s="11">
        <v>0.0238532110091742</v>
      </c>
    </row>
    <row r="1283" spans="1:5">
      <c r="A1283" s="13">
        <v>46082</v>
      </c>
      <c r="B1283" t="s">
        <v>221</v>
      </c>
      <c r="C1283" t="s">
        <v>218</v>
      </c>
      <c r="D1283" s="12">
        <v>202.4</v>
      </c>
      <c r="E1283" s="11">
        <v>0.0232558139534884</v>
      </c>
    </row>
    <row r="1284" spans="1:5">
      <c r="A1284" s="13">
        <v>46082</v>
      </c>
      <c r="B1284" t="s">
        <v>221</v>
      </c>
      <c r="C1284" t="s">
        <v>214</v>
      </c>
      <c r="D1284" s="12">
        <v>199.4</v>
      </c>
      <c r="E1284" s="11">
        <v>0.043979057591623</v>
      </c>
    </row>
    <row r="1285" spans="1:5">
      <c r="A1285" s="13">
        <v>46082</v>
      </c>
      <c r="B1285" t="s">
        <v>221</v>
      </c>
      <c r="C1285" t="s">
        <v>217</v>
      </c>
      <c r="D1285" s="12">
        <v>185.7</v>
      </c>
      <c r="E1285" s="11">
        <v>0.0276701715550635</v>
      </c>
    </row>
    <row r="1286" spans="1:5">
      <c r="A1286" s="13">
        <v>46082</v>
      </c>
      <c r="B1286" t="s">
        <v>213</v>
      </c>
      <c r="C1286" t="s">
        <v>214</v>
      </c>
      <c r="D1286" s="12">
        <v>202.6</v>
      </c>
      <c r="E1286" s="11">
        <v>0.0497409326424869</v>
      </c>
    </row>
    <row r="1287" spans="1:5">
      <c r="A1287" s="13">
        <v>46082</v>
      </c>
      <c r="B1287" t="s">
        <v>213</v>
      </c>
      <c r="C1287" t="s">
        <v>219</v>
      </c>
      <c r="D1287" s="12">
        <v>231.8</v>
      </c>
      <c r="E1287" s="11">
        <v>0.0852059925093633</v>
      </c>
    </row>
    <row r="1288" spans="1:5">
      <c r="A1288" s="13">
        <v>46082</v>
      </c>
      <c r="B1288" t="s">
        <v>213</v>
      </c>
      <c r="C1288" t="s">
        <v>220</v>
      </c>
      <c r="D1288" s="12">
        <v>184.9</v>
      </c>
      <c r="E1288" s="11">
        <v>0.0114879649890591</v>
      </c>
    </row>
    <row r="1289" spans="1:5">
      <c r="A1289" s="13">
        <v>46082</v>
      </c>
      <c r="B1289" t="s">
        <v>213</v>
      </c>
      <c r="C1289" t="s">
        <v>218</v>
      </c>
      <c r="D1289" s="12">
        <v>210.1</v>
      </c>
      <c r="E1289" s="11">
        <v>0.0243783520234033</v>
      </c>
    </row>
    <row r="1290" spans="1:5">
      <c r="A1290" s="13">
        <v>46082</v>
      </c>
      <c r="B1290" t="s">
        <v>213</v>
      </c>
      <c r="C1290" t="s">
        <v>217</v>
      </c>
      <c r="D1290" s="12">
        <v>187.7</v>
      </c>
      <c r="E1290" s="11">
        <v>0.0509518477043673</v>
      </c>
    </row>
    <row r="1291" spans="1:5">
      <c r="A1291" s="13">
        <v>46082</v>
      </c>
      <c r="B1291" t="s">
        <v>215</v>
      </c>
      <c r="C1291" t="s">
        <v>216</v>
      </c>
      <c r="D1291" s="12">
        <v>169.7</v>
      </c>
      <c r="E1291" s="11">
        <v>0.0161676646706585</v>
      </c>
    </row>
    <row r="1292" spans="1:5">
      <c r="A1292" s="13">
        <v>46113</v>
      </c>
      <c r="B1292" t="s">
        <v>221</v>
      </c>
      <c r="C1292" t="s">
        <v>220</v>
      </c>
      <c r="D1292" s="12">
        <v>178.3</v>
      </c>
      <c r="E1292" s="11">
        <v>0.0136441159749858</v>
      </c>
    </row>
    <row r="1293" spans="1:5">
      <c r="A1293" s="13">
        <v>46113</v>
      </c>
      <c r="B1293" t="s">
        <v>213</v>
      </c>
      <c r="C1293" t="s">
        <v>219</v>
      </c>
      <c r="D1293" s="12">
        <v>233.1</v>
      </c>
      <c r="E1293" s="11">
        <v>0.07123161764705881</v>
      </c>
    </row>
    <row r="1294" spans="1:5">
      <c r="A1294" s="13">
        <v>46113</v>
      </c>
      <c r="B1294" t="s">
        <v>213</v>
      </c>
      <c r="C1294" t="s">
        <v>214</v>
      </c>
      <c r="D1294" s="12">
        <v>201.5</v>
      </c>
      <c r="E1294" s="11">
        <v>0.038659793814433</v>
      </c>
    </row>
    <row r="1295" spans="1:5">
      <c r="A1295" s="13">
        <v>46113</v>
      </c>
      <c r="B1295" t="s">
        <v>213</v>
      </c>
      <c r="C1295" t="s">
        <v>216</v>
      </c>
      <c r="D1295" s="12">
        <v>168.8</v>
      </c>
      <c r="E1295" s="11">
        <v>0.0242718446601941</v>
      </c>
    </row>
    <row r="1296" spans="1:5">
      <c r="A1296" s="13">
        <v>46113</v>
      </c>
      <c r="B1296" t="s">
        <v>221</v>
      </c>
      <c r="C1296" t="s">
        <v>217</v>
      </c>
      <c r="D1296" s="12">
        <v>183</v>
      </c>
      <c r="E1296" s="11">
        <v>0.0183639398998332</v>
      </c>
    </row>
    <row r="1297" spans="1:5">
      <c r="A1297" s="13">
        <v>46113</v>
      </c>
      <c r="B1297" t="s">
        <v>221</v>
      </c>
      <c r="C1297" t="s">
        <v>218</v>
      </c>
      <c r="D1297" s="12">
        <v>201.6</v>
      </c>
      <c r="E1297" s="11">
        <v>0.0202429149797571</v>
      </c>
    </row>
    <row r="1298" spans="1:5">
      <c r="A1298" s="13">
        <v>46113</v>
      </c>
      <c r="B1298" t="s">
        <v>221</v>
      </c>
      <c r="C1298" t="s">
        <v>214</v>
      </c>
      <c r="D1298" s="12">
        <v>198.9</v>
      </c>
      <c r="E1298" s="11">
        <v>0.0381002087682673</v>
      </c>
    </row>
    <row r="1299" spans="1:5">
      <c r="A1299" s="13">
        <v>46113</v>
      </c>
      <c r="B1299" t="s">
        <v>221</v>
      </c>
      <c r="C1299" t="s">
        <v>219</v>
      </c>
      <c r="D1299" s="12">
        <v>235.4</v>
      </c>
      <c r="E1299" s="11">
        <v>0.0739051094890512</v>
      </c>
    </row>
    <row r="1300" spans="1:5">
      <c r="A1300" s="13">
        <v>46113</v>
      </c>
      <c r="B1300" t="s">
        <v>213</v>
      </c>
      <c r="C1300" t="s">
        <v>220</v>
      </c>
      <c r="D1300" s="12">
        <v>182.6</v>
      </c>
      <c r="E1300" s="11">
        <v>0.0082827167310877</v>
      </c>
    </row>
    <row r="1301" spans="1:5">
      <c r="A1301" s="13">
        <v>46113</v>
      </c>
      <c r="B1301" t="s">
        <v>221</v>
      </c>
      <c r="C1301" t="s">
        <v>216</v>
      </c>
      <c r="D1301" s="12">
        <v>168</v>
      </c>
      <c r="E1301" s="11">
        <v>0.0281517747858017</v>
      </c>
    </row>
    <row r="1302" spans="1:5">
      <c r="A1302" s="13">
        <v>46113</v>
      </c>
      <c r="B1302" t="s">
        <v>215</v>
      </c>
      <c r="C1302" t="s">
        <v>216</v>
      </c>
      <c r="D1302" s="12">
        <v>170</v>
      </c>
      <c r="E1302" s="11">
        <v>0.0191846522781773</v>
      </c>
    </row>
    <row r="1303" spans="1:5">
      <c r="A1303" s="13">
        <v>46113</v>
      </c>
      <c r="B1303" t="s">
        <v>213</v>
      </c>
      <c r="C1303" t="s">
        <v>217</v>
      </c>
      <c r="D1303" s="12">
        <v>184.1</v>
      </c>
      <c r="E1303" s="11">
        <v>0.0331088664421999</v>
      </c>
    </row>
    <row r="1304" spans="1:5">
      <c r="A1304" s="13">
        <v>46113</v>
      </c>
      <c r="B1304" t="s">
        <v>213</v>
      </c>
      <c r="C1304" t="s">
        <v>218</v>
      </c>
      <c r="D1304" s="12">
        <v>209.3</v>
      </c>
      <c r="E1304" s="11">
        <v>0.018987341772152</v>
      </c>
    </row>
    <row r="1305" spans="1:5">
      <c r="A1305" s="13">
        <v>46143</v>
      </c>
      <c r="B1305" t="s">
        <v>221</v>
      </c>
      <c r="C1305" t="s">
        <v>214</v>
      </c>
      <c r="D1305" s="12">
        <v>200.9</v>
      </c>
      <c r="E1305" s="11">
        <v>0.0425531914893617</v>
      </c>
    </row>
    <row r="1306" spans="1:5">
      <c r="A1306" s="13">
        <v>46143</v>
      </c>
      <c r="B1306" t="s">
        <v>221</v>
      </c>
      <c r="C1306" t="s">
        <v>219</v>
      </c>
      <c r="D1306" s="12">
        <v>234.4</v>
      </c>
      <c r="E1306" s="11">
        <v>0.0596745027124774</v>
      </c>
    </row>
    <row r="1307" spans="1:5">
      <c r="A1307" s="13">
        <v>46143</v>
      </c>
      <c r="B1307" t="s">
        <v>221</v>
      </c>
      <c r="C1307" t="s">
        <v>220</v>
      </c>
      <c r="D1307" s="12">
        <v>179.9</v>
      </c>
      <c r="E1307" s="11">
        <v>0.0204197390811116</v>
      </c>
    </row>
    <row r="1308" spans="1:5">
      <c r="A1308" s="13">
        <v>46143</v>
      </c>
      <c r="B1308" t="s">
        <v>221</v>
      </c>
      <c r="C1308" t="s">
        <v>216</v>
      </c>
      <c r="D1308" s="12">
        <v>169.6</v>
      </c>
      <c r="E1308" s="11">
        <v>0.032258064516129</v>
      </c>
    </row>
    <row r="1309" spans="1:5">
      <c r="A1309" s="13">
        <v>46143</v>
      </c>
      <c r="B1309" t="s">
        <v>221</v>
      </c>
      <c r="C1309" t="s">
        <v>217</v>
      </c>
      <c r="D1309" s="12">
        <v>194.3</v>
      </c>
      <c r="E1309" s="11">
        <v>0.0717043574186431</v>
      </c>
    </row>
    <row r="1310" spans="1:5">
      <c r="A1310" s="13">
        <v>46143</v>
      </c>
      <c r="B1310" t="s">
        <v>213</v>
      </c>
      <c r="C1310" t="s">
        <v>216</v>
      </c>
      <c r="D1310" s="12">
        <v>170.2</v>
      </c>
      <c r="E1310" s="11">
        <v>0.025919228450874</v>
      </c>
    </row>
    <row r="1311" spans="1:5">
      <c r="A1311" s="13">
        <v>46143</v>
      </c>
      <c r="B1311" t="s">
        <v>213</v>
      </c>
      <c r="C1311" t="s">
        <v>214</v>
      </c>
      <c r="D1311" s="12">
        <v>204.7</v>
      </c>
      <c r="E1311" s="11">
        <v>0.0481310803891448</v>
      </c>
    </row>
    <row r="1312" spans="1:5">
      <c r="A1312" s="13">
        <v>46143</v>
      </c>
      <c r="B1312" t="s">
        <v>213</v>
      </c>
      <c r="C1312" t="s">
        <v>219</v>
      </c>
      <c r="D1312" s="12">
        <v>233.5</v>
      </c>
      <c r="E1312" s="11">
        <v>0.0671846435100547</v>
      </c>
    </row>
    <row r="1313" spans="1:5">
      <c r="A1313" s="13">
        <v>46143</v>
      </c>
      <c r="B1313" t="s">
        <v>213</v>
      </c>
      <c r="C1313" t="s">
        <v>220</v>
      </c>
      <c r="D1313" s="12">
        <v>184.4</v>
      </c>
      <c r="E1313" s="11">
        <v>0.0182219768083933</v>
      </c>
    </row>
    <row r="1314" spans="1:5">
      <c r="A1314" s="13">
        <v>46143</v>
      </c>
      <c r="B1314" t="s">
        <v>213</v>
      </c>
      <c r="C1314" t="s">
        <v>218</v>
      </c>
      <c r="D1314" s="12">
        <v>211.1</v>
      </c>
      <c r="E1314" s="11">
        <v>0.0267509727626458</v>
      </c>
    </row>
    <row r="1315" spans="1:5">
      <c r="A1315" s="13">
        <v>46143</v>
      </c>
      <c r="B1315" t="s">
        <v>213</v>
      </c>
      <c r="C1315" t="s">
        <v>217</v>
      </c>
      <c r="D1315" s="12">
        <v>197.7</v>
      </c>
      <c r="E1315" s="11">
        <v>0.0916620651573716</v>
      </c>
    </row>
    <row r="1316" spans="1:5">
      <c r="A1316" s="13">
        <v>46143</v>
      </c>
      <c r="B1316" t="s">
        <v>215</v>
      </c>
      <c r="C1316" t="s">
        <v>216</v>
      </c>
      <c r="D1316" s="12">
        <v>171.7</v>
      </c>
      <c r="E1316" s="11">
        <v>0.0214158239143367</v>
      </c>
    </row>
    <row r="1317" spans="1:5">
      <c r="A1317" s="13">
        <v>46143</v>
      </c>
      <c r="B1317" t="s">
        <v>221</v>
      </c>
      <c r="C1317" t="s">
        <v>218</v>
      </c>
      <c r="D1317" s="12">
        <v>202.3</v>
      </c>
      <c r="E1317" s="11">
        <v>0.0165829145728644</v>
      </c>
    </row>
    <row r="1318" spans="1:5">
      <c r="A1318" s="13">
        <v>46174</v>
      </c>
      <c r="B1318" t="s">
        <v>215</v>
      </c>
      <c r="C1318" t="s">
        <v>216</v>
      </c>
      <c r="D1318" s="12">
        <v>170.9</v>
      </c>
      <c r="E1318" s="11">
        <v>0.0166567519333731</v>
      </c>
    </row>
    <row r="1319" spans="1:5">
      <c r="A1319" s="13">
        <v>46174</v>
      </c>
      <c r="B1319" t="s">
        <v>213</v>
      </c>
      <c r="C1319" t="s">
        <v>217</v>
      </c>
      <c r="D1319" s="12">
        <v>186.8</v>
      </c>
      <c r="E1319" s="11">
        <v>0.0500281056773468</v>
      </c>
    </row>
    <row r="1320" spans="1:5">
      <c r="A1320" s="13">
        <v>46174</v>
      </c>
      <c r="B1320" t="s">
        <v>213</v>
      </c>
      <c r="C1320" t="s">
        <v>218</v>
      </c>
      <c r="D1320" s="12">
        <v>211.8</v>
      </c>
      <c r="E1320" s="11">
        <v>0.0276564774381369</v>
      </c>
    </row>
    <row r="1321" spans="1:5">
      <c r="A1321" s="13">
        <v>46174</v>
      </c>
      <c r="B1321" t="s">
        <v>213</v>
      </c>
      <c r="C1321" t="s">
        <v>220</v>
      </c>
      <c r="D1321" s="12">
        <v>185.9</v>
      </c>
      <c r="E1321" s="11">
        <v>0.0242424242424241</v>
      </c>
    </row>
    <row r="1322" spans="1:5">
      <c r="A1322" s="13">
        <v>46174</v>
      </c>
      <c r="B1322" t="s">
        <v>213</v>
      </c>
      <c r="C1322" t="s">
        <v>219</v>
      </c>
      <c r="D1322" s="12">
        <v>235.8</v>
      </c>
      <c r="E1322" s="11">
        <v>0.0723055934515688</v>
      </c>
    </row>
    <row r="1323" spans="1:5">
      <c r="A1323" s="13">
        <v>46174</v>
      </c>
      <c r="B1323" t="s">
        <v>213</v>
      </c>
      <c r="C1323" t="s">
        <v>214</v>
      </c>
      <c r="D1323" s="12">
        <v>203.5</v>
      </c>
      <c r="E1323" s="11">
        <v>0.0398569238630557</v>
      </c>
    </row>
    <row r="1324" spans="1:5">
      <c r="A1324" s="13">
        <v>46174</v>
      </c>
      <c r="B1324" t="s">
        <v>221</v>
      </c>
      <c r="C1324" t="s">
        <v>217</v>
      </c>
      <c r="D1324" s="12">
        <v>186.5</v>
      </c>
      <c r="E1324" s="11">
        <v>0.0530773574251834</v>
      </c>
    </row>
    <row r="1325" spans="1:5">
      <c r="A1325" s="13">
        <v>46174</v>
      </c>
      <c r="B1325" t="s">
        <v>221</v>
      </c>
      <c r="C1325" t="s">
        <v>218</v>
      </c>
      <c r="D1325" s="12">
        <v>203.3</v>
      </c>
      <c r="E1325" s="11">
        <v>0.0267676767676767</v>
      </c>
    </row>
    <row r="1326" spans="1:5">
      <c r="A1326" s="13">
        <v>46174</v>
      </c>
      <c r="B1326" t="s">
        <v>221</v>
      </c>
      <c r="C1326" t="s">
        <v>220</v>
      </c>
      <c r="D1326" s="12">
        <v>181.4</v>
      </c>
      <c r="E1326" s="11">
        <v>0.024858757062147</v>
      </c>
    </row>
    <row r="1327" spans="1:5">
      <c r="A1327" s="13">
        <v>46174</v>
      </c>
      <c r="B1327" t="s">
        <v>221</v>
      </c>
      <c r="C1327" t="s">
        <v>219</v>
      </c>
      <c r="D1327" s="12">
        <v>236</v>
      </c>
      <c r="E1327" s="11">
        <v>0.0654627539503385</v>
      </c>
    </row>
    <row r="1328" spans="1:5">
      <c r="A1328" s="13">
        <v>46174</v>
      </c>
      <c r="B1328" t="s">
        <v>221</v>
      </c>
      <c r="C1328" t="s">
        <v>214</v>
      </c>
      <c r="D1328" s="12">
        <v>200.3</v>
      </c>
      <c r="E1328" s="11">
        <v>0.0389004149377594</v>
      </c>
    </row>
    <row r="1329" spans="1:5">
      <c r="A1329" s="13">
        <v>46174</v>
      </c>
      <c r="B1329" t="s">
        <v>221</v>
      </c>
      <c r="C1329" t="s">
        <v>216</v>
      </c>
      <c r="D1329" s="12">
        <v>169</v>
      </c>
      <c r="E1329" s="11">
        <v>0.0279805352798052</v>
      </c>
    </row>
    <row r="1330" spans="1:5">
      <c r="A1330" s="13">
        <v>46174</v>
      </c>
      <c r="B1330" t="s">
        <v>213</v>
      </c>
      <c r="C1330" t="s">
        <v>216</v>
      </c>
      <c r="D1330" s="12">
        <v>169.3</v>
      </c>
      <c r="E1330" s="11">
        <v>0.0198795180722892</v>
      </c>
    </row>
    <row r="1331" spans="1:5">
      <c r="A1331" s="13">
        <v>46204</v>
      </c>
      <c r="B1331" t="s">
        <v>213</v>
      </c>
      <c r="C1331" t="s">
        <v>219</v>
      </c>
      <c r="D1331" s="12">
        <v>228.7</v>
      </c>
      <c r="E1331" s="11">
        <v>0.0409649522075556</v>
      </c>
    </row>
    <row r="1332" spans="1:5">
      <c r="A1332" s="13">
        <v>46204</v>
      </c>
      <c r="B1332" t="s">
        <v>215</v>
      </c>
      <c r="C1332" t="s">
        <v>216</v>
      </c>
      <c r="D1332" s="12">
        <v>171.4</v>
      </c>
      <c r="E1332" s="11">
        <v>0.0166073546856466</v>
      </c>
    </row>
    <row r="1333" spans="1:5">
      <c r="A1333" s="13">
        <v>46204</v>
      </c>
      <c r="B1333" t="s">
        <v>213</v>
      </c>
      <c r="C1333" t="s">
        <v>217</v>
      </c>
      <c r="D1333" s="12">
        <v>189.5</v>
      </c>
      <c r="E1333" s="11">
        <v>0.0417811984606926</v>
      </c>
    </row>
    <row r="1334" spans="1:5">
      <c r="A1334" s="13">
        <v>46204</v>
      </c>
      <c r="B1334" t="s">
        <v>213</v>
      </c>
      <c r="C1334" t="s">
        <v>218</v>
      </c>
      <c r="D1334" s="12">
        <v>210.7</v>
      </c>
      <c r="E1334" s="11">
        <v>0.0066889632107023</v>
      </c>
    </row>
    <row r="1335" spans="1:5">
      <c r="A1335" s="13">
        <v>46204</v>
      </c>
      <c r="B1335" t="s">
        <v>213</v>
      </c>
      <c r="C1335" t="s">
        <v>220</v>
      </c>
      <c r="D1335" s="12">
        <v>184.7</v>
      </c>
      <c r="E1335" s="11">
        <v>0.0193156732891832</v>
      </c>
    </row>
    <row r="1336" spans="1:5">
      <c r="A1336" s="13">
        <v>46204</v>
      </c>
      <c r="B1336" t="s">
        <v>213</v>
      </c>
      <c r="C1336" t="s">
        <v>214</v>
      </c>
      <c r="D1336" s="12">
        <v>203</v>
      </c>
      <c r="E1336" s="11">
        <v>0.0288900152052711</v>
      </c>
    </row>
    <row r="1337" spans="1:5">
      <c r="A1337" s="13">
        <v>46204</v>
      </c>
      <c r="B1337" t="s">
        <v>221</v>
      </c>
      <c r="C1337" t="s">
        <v>219</v>
      </c>
      <c r="D1337" s="12">
        <v>233.8</v>
      </c>
      <c r="E1337" s="11">
        <v>0.049371633752244</v>
      </c>
    </row>
    <row r="1338" spans="1:5">
      <c r="A1338" s="13">
        <v>46204</v>
      </c>
      <c r="B1338" t="s">
        <v>221</v>
      </c>
      <c r="C1338" t="s">
        <v>217</v>
      </c>
      <c r="D1338" s="12">
        <v>188.3</v>
      </c>
      <c r="E1338" s="11">
        <v>0.0501952035694366</v>
      </c>
    </row>
    <row r="1339" spans="1:5">
      <c r="A1339" s="13">
        <v>46204</v>
      </c>
      <c r="B1339" t="s">
        <v>221</v>
      </c>
      <c r="C1339" t="s">
        <v>218</v>
      </c>
      <c r="D1339" s="12">
        <v>202.7</v>
      </c>
      <c r="E1339" s="11">
        <v>0.0109725685785535</v>
      </c>
    </row>
    <row r="1340" spans="1:5">
      <c r="A1340" s="13">
        <v>46204</v>
      </c>
      <c r="B1340" t="s">
        <v>221</v>
      </c>
      <c r="C1340" t="s">
        <v>220</v>
      </c>
      <c r="D1340" s="12">
        <v>180.7</v>
      </c>
      <c r="E1340" s="11">
        <v>0.0255391600454029</v>
      </c>
    </row>
    <row r="1341" spans="1:5">
      <c r="A1341" s="13">
        <v>46204</v>
      </c>
      <c r="B1341" t="s">
        <v>221</v>
      </c>
      <c r="C1341" t="s">
        <v>214</v>
      </c>
      <c r="D1341" s="12">
        <v>200.5</v>
      </c>
      <c r="E1341" s="11">
        <v>0.0313786008230452</v>
      </c>
    </row>
    <row r="1342" spans="1:5">
      <c r="A1342" s="13">
        <v>46204</v>
      </c>
      <c r="B1342" t="s">
        <v>221</v>
      </c>
      <c r="C1342" t="s">
        <v>216</v>
      </c>
      <c r="D1342" s="12">
        <v>169.9</v>
      </c>
      <c r="E1342" s="11">
        <v>0.0303214069132806</v>
      </c>
    </row>
    <row r="1343" spans="1:5">
      <c r="A1343" s="13">
        <v>46204</v>
      </c>
      <c r="B1343" t="s">
        <v>213</v>
      </c>
      <c r="C1343" t="s">
        <v>216</v>
      </c>
      <c r="D1343" s="12">
        <v>169.9</v>
      </c>
      <c r="E1343" s="11">
        <v>0.0204204204204203</v>
      </c>
    </row>
    <row r="1344" spans="1:5">
      <c r="A1344" s="13">
        <v>46235</v>
      </c>
      <c r="B1344" t="s">
        <v>213</v>
      </c>
      <c r="C1344" t="s">
        <v>218</v>
      </c>
      <c r="D1344" s="12">
        <v>210.1</v>
      </c>
      <c r="E1344" s="11">
        <v>0.015466408893185</v>
      </c>
    </row>
    <row r="1345" spans="1:5">
      <c r="A1345" s="13">
        <v>46235</v>
      </c>
      <c r="B1345" t="s">
        <v>213</v>
      </c>
      <c r="C1345" t="s">
        <v>220</v>
      </c>
      <c r="D1345" s="12">
        <v>182.4</v>
      </c>
      <c r="E1345" s="11">
        <v>-0.0010952902519166</v>
      </c>
    </row>
    <row r="1346" spans="1:5">
      <c r="A1346" s="13">
        <v>46235</v>
      </c>
      <c r="B1346" t="s">
        <v>213</v>
      </c>
      <c r="C1346" t="s">
        <v>219</v>
      </c>
      <c r="D1346" s="12">
        <v>234.5</v>
      </c>
      <c r="E1346" s="11">
        <v>0.0454748105216227</v>
      </c>
    </row>
    <row r="1347" spans="1:5">
      <c r="A1347" s="13">
        <v>46235</v>
      </c>
      <c r="B1347" t="s">
        <v>213</v>
      </c>
      <c r="C1347" t="s">
        <v>214</v>
      </c>
      <c r="D1347" s="12">
        <v>202.3</v>
      </c>
      <c r="E1347" s="11">
        <v>0.0274250888776028</v>
      </c>
    </row>
    <row r="1348" spans="1:5">
      <c r="A1348" s="13">
        <v>46235</v>
      </c>
      <c r="B1348" t="s">
        <v>213</v>
      </c>
      <c r="C1348" t="s">
        <v>216</v>
      </c>
      <c r="D1348" s="12">
        <v>170</v>
      </c>
      <c r="E1348" s="11">
        <v>0.0240963855421687</v>
      </c>
    </row>
    <row r="1349" spans="1:5">
      <c r="A1349" s="13">
        <v>46235</v>
      </c>
      <c r="B1349" t="s">
        <v>221</v>
      </c>
      <c r="C1349" t="s">
        <v>220</v>
      </c>
      <c r="D1349" s="12">
        <v>178.4</v>
      </c>
      <c r="E1349" s="11">
        <v>0.0039392234102419</v>
      </c>
    </row>
    <row r="1350" spans="1:5">
      <c r="A1350" s="13">
        <v>46235</v>
      </c>
      <c r="B1350" t="s">
        <v>221</v>
      </c>
      <c r="C1350" t="s">
        <v>218</v>
      </c>
      <c r="D1350" s="12">
        <v>201.9</v>
      </c>
      <c r="E1350" s="11">
        <v>0.01203007518797</v>
      </c>
    </row>
    <row r="1351" spans="1:5">
      <c r="A1351" s="13">
        <v>46235</v>
      </c>
      <c r="B1351" t="s">
        <v>221</v>
      </c>
      <c r="C1351" t="s">
        <v>219</v>
      </c>
      <c r="D1351" s="12">
        <v>236.8</v>
      </c>
      <c r="E1351" s="11">
        <v>0.0395083406496927</v>
      </c>
    </row>
    <row r="1352" spans="1:5">
      <c r="A1352" s="13">
        <v>46235</v>
      </c>
      <c r="B1352" t="s">
        <v>221</v>
      </c>
      <c r="C1352" t="s">
        <v>214</v>
      </c>
      <c r="D1352" s="12">
        <v>199.6</v>
      </c>
      <c r="E1352" s="11">
        <v>0.0278063851699279</v>
      </c>
    </row>
    <row r="1353" spans="1:5">
      <c r="A1353" s="13">
        <v>46235</v>
      </c>
      <c r="B1353" t="s">
        <v>221</v>
      </c>
      <c r="C1353" t="s">
        <v>216</v>
      </c>
      <c r="D1353" s="12">
        <v>169.8</v>
      </c>
      <c r="E1353" s="11">
        <v>0.0303398058252426</v>
      </c>
    </row>
    <row r="1354" spans="1:5">
      <c r="A1354" s="13">
        <v>46235</v>
      </c>
      <c r="B1354" t="s">
        <v>215</v>
      </c>
      <c r="C1354" t="s">
        <v>216</v>
      </c>
      <c r="D1354" s="12">
        <v>171.7</v>
      </c>
      <c r="E1354" s="11">
        <v>0.0214158239143367</v>
      </c>
    </row>
    <row r="1355" spans="1:5">
      <c r="A1355" s="13">
        <v>46235</v>
      </c>
      <c r="B1355" t="s">
        <v>221</v>
      </c>
      <c r="C1355" t="s">
        <v>217</v>
      </c>
      <c r="D1355" s="12">
        <v>180.3</v>
      </c>
      <c r="E1355" s="11">
        <v>0.0397923875432526</v>
      </c>
    </row>
    <row r="1356" spans="1:5">
      <c r="A1356" s="13">
        <v>46235</v>
      </c>
      <c r="B1356" t="s">
        <v>213</v>
      </c>
      <c r="C1356" t="s">
        <v>217</v>
      </c>
      <c r="D1356" s="12">
        <v>180.8</v>
      </c>
      <c r="E1356" s="11">
        <v>0.0220463538722441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39"/>
  <sheetViews>
    <sheetView showGridLines="0" workbookViewId="0"/>
  </sheetViews>
  <sheetFormatPr defaultRowHeight="15"/>
  <cols>
    <col min="1" max="1" width="26.7109375" customWidth="1"/>
    <col min="2" max="2" width="11.7109375" customWidth="1"/>
    <col min="3" max="3" width="60.7109375" customWidth="1"/>
    <col min="4" max="5" width="11.7109375" customWidth="1"/>
    <col min="6" max="6" width="15.7109375" customWidth="1"/>
    <col min="7" max="8" width="11.7109375" customWidth="1"/>
    <col min="9" max="9" width="15.7109375" customWidth="1"/>
    <col min="10" max="10" width="21.7109375" customWidth="1"/>
    <col min="11" max="11" width="20.7109375" customWidth="1"/>
    <col min="12" max="15" width="13.7109375" customWidth="1"/>
  </cols>
  <sheetData>
    <row r="1" spans="1:15">
      <c r="A1" s="1" t="s">
        <v>228</v>
      </c>
    </row>
    <row r="2" spans="1:15">
      <c r="A2" s="2" t="s">
        <v>229</v>
      </c>
    </row>
    <row r="4" spans="1:15" ht="32" customHeight="1">
      <c r="A4" s="9" t="s">
        <v>230</v>
      </c>
      <c r="B4" s="9" t="s">
        <v>66</v>
      </c>
      <c r="C4" s="9" t="s">
        <v>76</v>
      </c>
      <c r="D4" s="9" t="s">
        <v>61</v>
      </c>
      <c r="E4" s="9" t="s">
        <v>73</v>
      </c>
      <c r="F4" s="9" t="s">
        <v>70</v>
      </c>
      <c r="G4" s="9" t="s">
        <v>68</v>
      </c>
      <c r="H4" s="9" t="s">
        <v>80</v>
      </c>
      <c r="I4" s="9" t="s">
        <v>83</v>
      </c>
      <c r="J4" s="9" t="s">
        <v>231</v>
      </c>
      <c r="K4" s="9" t="s">
        <v>232</v>
      </c>
      <c r="L4" s="9" t="s">
        <v>243</v>
      </c>
      <c r="M4" s="9" t="s">
        <v>244</v>
      </c>
      <c r="N4" s="9" t="s">
        <v>245</v>
      </c>
      <c r="O4" s="9" t="s">
        <v>246</v>
      </c>
    </row>
    <row r="5" spans="1:15">
      <c r="A5" t="s">
        <v>233</v>
      </c>
      <c r="B5" s="16">
        <v>4.5</v>
      </c>
      <c r="C5" s="16">
        <v>5.96</v>
      </c>
      <c r="D5" s="16">
        <v>5.99</v>
      </c>
      <c r="E5" s="16">
        <v>5.99</v>
      </c>
      <c r="F5" s="16">
        <v>5.49</v>
      </c>
      <c r="G5" s="16">
        <v>8.99</v>
      </c>
      <c r="H5" s="16">
        <v>7.99</v>
      </c>
      <c r="I5" s="16">
        <v>4.99</v>
      </c>
      <c r="J5" s="16">
        <v>5.760000000000001</v>
      </c>
      <c r="K5" s="16">
        <v>5.778333333333333</v>
      </c>
      <c r="L5" s="11">
        <f>IFERROR(B5/J5-1,"")</f>
        <v>-0.2187500000000001</v>
      </c>
      <c r="M5" s="11">
        <f>IFERROR(D5/J5-1,"")</f>
        <v>0.03993055555555558</v>
      </c>
      <c r="N5" s="11">
        <f>IFERROR(E5/J5-1,"")</f>
        <v>0.03993055555555558</v>
      </c>
      <c r="O5" s="11">
        <f>IFERROR(C5/J5-1,"")</f>
        <v>0.0347222222222221</v>
      </c>
    </row>
    <row r="6" spans="1:15">
      <c r="A6" t="s">
        <v>234</v>
      </c>
      <c r="B6" s="16">
        <v>9</v>
      </c>
      <c r="C6" s="16"/>
      <c r="D6" s="16">
        <v>12</v>
      </c>
      <c r="E6" s="16">
        <v>10.99</v>
      </c>
      <c r="F6" s="16">
        <v>11.49</v>
      </c>
      <c r="G6" s="16">
        <v>12.99</v>
      </c>
      <c r="H6" s="16"/>
      <c r="I6" s="16"/>
      <c r="J6" s="16">
        <v>10.10833333333333</v>
      </c>
      <c r="K6" s="16">
        <v>10.48833333333334</v>
      </c>
      <c r="L6" s="11">
        <f>IFERROR(B6/J6-1,"")</f>
        <v>-0.1096455070074197</v>
      </c>
      <c r="M6" s="11">
        <f>IFERROR(D6/J6-1,"")</f>
        <v>0.18713932399010713</v>
      </c>
      <c r="N6" s="11">
        <f>IFERROR(E6/J6-1,"")</f>
        <v>0.08722176422093963</v>
      </c>
      <c r="O6" s="11">
        <f>IFERROR(C6/J6-1,"")</f>
        <v>None</v>
      </c>
    </row>
    <row r="7" spans="1:15">
      <c r="A7" t="s">
        <v>235</v>
      </c>
      <c r="B7" s="16">
        <v>3.79</v>
      </c>
      <c r="C7" s="16">
        <v>3.93</v>
      </c>
      <c r="D7" s="16">
        <v>3.85</v>
      </c>
      <c r="E7" s="16">
        <v>3.99</v>
      </c>
      <c r="F7" s="16">
        <v>3.99</v>
      </c>
      <c r="G7" s="16">
        <v>5.29</v>
      </c>
      <c r="H7" s="16"/>
      <c r="I7" s="16">
        <v>4.15</v>
      </c>
      <c r="J7" s="16">
        <v>4.99</v>
      </c>
      <c r="K7" s="16">
        <v>4.846666666666667</v>
      </c>
      <c r="L7" s="11">
        <f>IFERROR(B7/J7-1,"")</f>
        <v>-0.2404809619238477</v>
      </c>
      <c r="M7" s="11">
        <f>IFERROR(D7/J7-1,"")</f>
        <v>-0.22845691382765532</v>
      </c>
      <c r="N7" s="11">
        <f>IFERROR(E7/J7-1,"")</f>
        <v>-0.2004008016032064</v>
      </c>
      <c r="O7" s="11">
        <f>IFERROR(C7/J7-1,"")</f>
        <v>-0.2124248496993988</v>
      </c>
    </row>
    <row r="8" spans="1:15">
      <c r="A8" t="s">
        <v>236</v>
      </c>
      <c r="B8" s="16">
        <v>3.69</v>
      </c>
      <c r="C8" s="16">
        <v>3.48</v>
      </c>
      <c r="D8" s="16">
        <v>4.75</v>
      </c>
      <c r="E8" s="16">
        <v>3.99</v>
      </c>
      <c r="F8" s="16">
        <v>5.29</v>
      </c>
      <c r="G8" s="16">
        <v>5.99</v>
      </c>
      <c r="H8" s="16">
        <v>7.99</v>
      </c>
      <c r="I8" s="16"/>
      <c r="J8" s="16">
        <v>4.590000000000001</v>
      </c>
      <c r="K8" s="16">
        <v>4.686666666666667</v>
      </c>
      <c r="L8" s="11">
        <f>IFERROR(B8/J8-1,"")</f>
        <v>-0.1960784313725492</v>
      </c>
      <c r="M8" s="11">
        <f>IFERROR(D8/J8-1,"")</f>
        <v>0.03485838779956407</v>
      </c>
      <c r="N8" s="11">
        <f>IFERROR(E8/J8-1,"")</f>
        <v>-0.1307189542483661</v>
      </c>
      <c r="O8" s="11">
        <f>IFERROR(C8/J8-1,"")</f>
        <v>-0.24183006535947726</v>
      </c>
    </row>
    <row r="9" spans="1:15">
      <c r="A9" t="s">
        <v>237</v>
      </c>
      <c r="B9" s="16">
        <v>5.49</v>
      </c>
      <c r="C9" s="16">
        <v>4.57</v>
      </c>
      <c r="D9" s="16">
        <v>5.48</v>
      </c>
      <c r="E9" s="16">
        <v>4.79</v>
      </c>
      <c r="F9" s="16">
        <v>5.59</v>
      </c>
      <c r="G9" s="16">
        <v>5.68</v>
      </c>
      <c r="H9" s="16">
        <v>5.29</v>
      </c>
      <c r="I9" s="16"/>
      <c r="J9" s="16">
        <v>5.896666666666666</v>
      </c>
      <c r="K9" s="16">
        <v>5.496666666666667</v>
      </c>
      <c r="L9" s="11">
        <f>IFERROR(B9/J9-1,"")</f>
        <v>-0.06896551724137912</v>
      </c>
      <c r="M9" s="11">
        <f>IFERROR(D9/J9-1,"")</f>
        <v>-0.07066139061616705</v>
      </c>
      <c r="N9" s="11">
        <f>IFERROR(E9/J9-1,"")</f>
        <v>-0.18767665347654028</v>
      </c>
      <c r="O9" s="11">
        <f>IFERROR(C9/J9-1,"")</f>
        <v>-0.22498586772187656</v>
      </c>
    </row>
    <row r="10" spans="1:15">
      <c r="A10" t="s">
        <v>238</v>
      </c>
      <c r="B10" s="16">
        <v>6.44</v>
      </c>
      <c r="C10" s="16">
        <v>6.97</v>
      </c>
      <c r="D10" s="16">
        <v>6.44</v>
      </c>
      <c r="E10" s="16">
        <v>6.44</v>
      </c>
      <c r="F10" s="16">
        <v>6</v>
      </c>
      <c r="G10" s="16">
        <v>6.48</v>
      </c>
      <c r="H10" s="16">
        <v>7.99</v>
      </c>
      <c r="I10" s="16"/>
      <c r="J10" s="16">
        <v>6.896666666666667</v>
      </c>
      <c r="K10" s="16">
        <v>7.000000000000001</v>
      </c>
      <c r="L10" s="11">
        <f>IFERROR(B10/J10-1,"")</f>
        <v>-0.06621556307394882</v>
      </c>
      <c r="M10" s="11">
        <f>IFERROR(D10/J10-1,"")</f>
        <v>-0.06621556307394882</v>
      </c>
      <c r="N10" s="11">
        <f>IFERROR(E10/J10-1,"")</f>
        <v>-0.06621556307394882</v>
      </c>
      <c r="O10" s="11">
        <f>IFERROR(C10/J10-1,"")</f>
        <v>0.010633156114064679</v>
      </c>
    </row>
    <row r="11" spans="1:15">
      <c r="A11" t="s">
        <v>239</v>
      </c>
      <c r="B11" s="16">
        <v>4.5</v>
      </c>
      <c r="C11" s="16">
        <v>5.97</v>
      </c>
      <c r="D11" s="16">
        <v>5.49</v>
      </c>
      <c r="E11" s="16">
        <v>4.99</v>
      </c>
      <c r="F11" s="16">
        <v>5.99</v>
      </c>
      <c r="G11" s="16">
        <v>10.97</v>
      </c>
      <c r="H11" s="16">
        <v>9.99</v>
      </c>
      <c r="I11" s="16"/>
      <c r="J11" s="16">
        <v>5.965000000000001</v>
      </c>
      <c r="K11" s="16">
        <v>6.005000000000002</v>
      </c>
      <c r="L11" s="11">
        <f>IFERROR(B11/J11-1,"")</f>
        <v>-0.2455993294216262</v>
      </c>
      <c r="M11" s="11">
        <f>IFERROR(D11/J11-1,"")</f>
        <v>-0.079631181894384</v>
      </c>
      <c r="N11" s="11">
        <f>IFERROR(E11/J11-1,"")</f>
        <v>-0.16345347862531445</v>
      </c>
      <c r="O11" s="11">
        <f>IFERROR(C11/J11-1,"")</f>
        <v>0.0008382229673091768</v>
      </c>
    </row>
    <row r="12" spans="1:15">
      <c r="A12" t="s">
        <v>240</v>
      </c>
      <c r="B12" s="16">
        <v>3.79</v>
      </c>
      <c r="C12" s="16">
        <v>3.77</v>
      </c>
      <c r="D12" s="16">
        <v>4.5</v>
      </c>
      <c r="E12" s="16">
        <v>7.49</v>
      </c>
      <c r="F12" s="16">
        <v>4.49</v>
      </c>
      <c r="G12" s="16">
        <v>4.49</v>
      </c>
      <c r="H12" s="16">
        <v>7.99</v>
      </c>
      <c r="I12" s="16"/>
      <c r="J12" s="16">
        <v>5.223333333333333</v>
      </c>
      <c r="K12" s="16">
        <v>5.271666666666667</v>
      </c>
      <c r="L12" s="11">
        <f>IFERROR(B12/J12-1,"")</f>
        <v>-0.27440970006381615</v>
      </c>
      <c r="M12" s="11">
        <f>IFERROR(D12/J12-1,"")</f>
        <v>-0.13848117421825135</v>
      </c>
      <c r="N12" s="11">
        <f>IFERROR(E12/J12-1,"")</f>
        <v>0.4339502233567327</v>
      </c>
      <c r="O12" s="11">
        <f>IFERROR(C12/J12-1,"")</f>
        <v>-0.2782386726228461</v>
      </c>
    </row>
    <row r="13" spans="1:15">
      <c r="A13" t="s">
        <v>241</v>
      </c>
      <c r="B13" s="16">
        <v>2.5</v>
      </c>
      <c r="C13" s="16">
        <v>2.98</v>
      </c>
      <c r="D13" s="16">
        <v>3.5</v>
      </c>
      <c r="E13" s="16">
        <v>2.48</v>
      </c>
      <c r="F13" s="16">
        <v>2.49</v>
      </c>
      <c r="G13" s="16">
        <v>3.89</v>
      </c>
      <c r="H13" s="16">
        <v>3.98</v>
      </c>
      <c r="I13" s="16">
        <v>4.49</v>
      </c>
      <c r="J13" s="16">
        <v>3.25</v>
      </c>
      <c r="K13" s="16">
        <v>3.608333333333333</v>
      </c>
      <c r="L13" s="11">
        <f>IFERROR(B13/J13-1,"")</f>
        <v>-0.23076923076923073</v>
      </c>
      <c r="M13" s="11">
        <f>IFERROR(D13/J13-1,"")</f>
        <v>0.07692307692307687</v>
      </c>
      <c r="N13" s="11">
        <f>IFERROR(E13/J13-1,"")</f>
        <v>-0.2369230769230769</v>
      </c>
      <c r="O13" s="11">
        <f>IFERROR(C13/J13-1,"")</f>
        <v>-0.08307692307692305</v>
      </c>
    </row>
    <row r="14" spans="1:15">
      <c r="A14" t="s">
        <v>242</v>
      </c>
      <c r="B14" s="16">
        <v>2.99</v>
      </c>
      <c r="C14" s="16">
        <v>2.97</v>
      </c>
      <c r="D14" s="16">
        <v>3.49</v>
      </c>
      <c r="E14" s="16">
        <v>3.49</v>
      </c>
      <c r="F14" s="16">
        <v>3.49</v>
      </c>
      <c r="G14" s="16">
        <v>3.99</v>
      </c>
      <c r="H14" s="16">
        <v>4.49</v>
      </c>
      <c r="I14" s="16"/>
      <c r="J14" s="16">
        <v>2.758333333333333</v>
      </c>
      <c r="K14" s="16">
        <v>2.785</v>
      </c>
      <c r="L14" s="11">
        <f>IFERROR(B14/J14-1,"")</f>
        <v>0.08398791540785533</v>
      </c>
      <c r="M14" s="11">
        <f>IFERROR(D14/J14-1,"")</f>
        <v>0.26525679758308196</v>
      </c>
      <c r="N14" s="11">
        <f>IFERROR(E14/J14-1,"")</f>
        <v>0.26525679758308196</v>
      </c>
      <c r="O14" s="11">
        <f>IFERROR(C14/J14-1,"")</f>
        <v>0.07673716012084619</v>
      </c>
    </row>
    <row r="17" spans="1:6">
      <c r="A17" s="3" t="s">
        <v>247</v>
      </c>
    </row>
    <row r="18" spans="1:6" ht="32" customHeight="1">
      <c r="A18" s="9" t="s">
        <v>230</v>
      </c>
      <c r="B18" s="9" t="s">
        <v>248</v>
      </c>
      <c r="C18" s="9" t="s">
        <v>249</v>
      </c>
      <c r="D18" s="9" t="s">
        <v>250</v>
      </c>
      <c r="E18" s="9" t="s">
        <v>251</v>
      </c>
      <c r="F18" s="9" t="s">
        <v>126</v>
      </c>
    </row>
    <row r="19" spans="1:6">
      <c r="A19" t="s">
        <v>233</v>
      </c>
      <c r="B19" t="s">
        <v>80</v>
      </c>
      <c r="C19" t="s">
        <v>252</v>
      </c>
      <c r="D19" t="s">
        <v>253</v>
      </c>
      <c r="F19" t="b">
        <v>0</v>
      </c>
    </row>
    <row r="20" spans="1:6">
      <c r="A20" t="s">
        <v>233</v>
      </c>
      <c r="B20" t="s">
        <v>80</v>
      </c>
      <c r="C20" t="s">
        <v>254</v>
      </c>
      <c r="D20" t="s">
        <v>253</v>
      </c>
      <c r="F20" t="b">
        <v>0</v>
      </c>
    </row>
    <row r="21" spans="1:6">
      <c r="A21" t="s">
        <v>233</v>
      </c>
      <c r="B21" t="s">
        <v>80</v>
      </c>
      <c r="C21" t="s">
        <v>255</v>
      </c>
      <c r="D21" t="s">
        <v>253</v>
      </c>
      <c r="F21" t="b">
        <v>0</v>
      </c>
    </row>
    <row r="22" spans="1:6">
      <c r="A22" t="s">
        <v>233</v>
      </c>
      <c r="B22" t="s">
        <v>80</v>
      </c>
      <c r="C22" t="s">
        <v>256</v>
      </c>
      <c r="D22" t="s">
        <v>253</v>
      </c>
      <c r="F22" t="b">
        <v>0</v>
      </c>
    </row>
    <row r="23" spans="1:6">
      <c r="A23" t="s">
        <v>233</v>
      </c>
      <c r="B23" t="s">
        <v>80</v>
      </c>
      <c r="C23" t="s">
        <v>252</v>
      </c>
      <c r="D23" t="s">
        <v>253</v>
      </c>
      <c r="F23" t="b">
        <v>0</v>
      </c>
    </row>
    <row r="24" spans="1:6">
      <c r="A24" t="s">
        <v>233</v>
      </c>
      <c r="B24" t="s">
        <v>61</v>
      </c>
      <c r="C24" t="s">
        <v>257</v>
      </c>
      <c r="D24" t="s">
        <v>258</v>
      </c>
      <c r="E24" t="s">
        <v>259</v>
      </c>
      <c r="F24" t="b">
        <v>0</v>
      </c>
    </row>
    <row r="25" spans="1:6">
      <c r="A25" t="s">
        <v>233</v>
      </c>
      <c r="B25" t="s">
        <v>61</v>
      </c>
      <c r="C25" t="s">
        <v>260</v>
      </c>
      <c r="D25" t="s">
        <v>258</v>
      </c>
      <c r="E25" t="s">
        <v>261</v>
      </c>
      <c r="F25" t="b">
        <v>0</v>
      </c>
    </row>
    <row r="26" spans="1:6">
      <c r="A26" t="s">
        <v>233</v>
      </c>
      <c r="B26" t="s">
        <v>61</v>
      </c>
      <c r="C26" t="s">
        <v>262</v>
      </c>
      <c r="D26" t="s">
        <v>258</v>
      </c>
      <c r="E26" t="s">
        <v>263</v>
      </c>
      <c r="F26" t="b">
        <v>0</v>
      </c>
    </row>
    <row r="27" spans="1:6">
      <c r="A27" t="s">
        <v>233</v>
      </c>
      <c r="B27" t="s">
        <v>61</v>
      </c>
      <c r="C27" t="s">
        <v>262</v>
      </c>
      <c r="D27" t="s">
        <v>258</v>
      </c>
      <c r="E27" t="s">
        <v>259</v>
      </c>
      <c r="F27" t="b">
        <v>0</v>
      </c>
    </row>
    <row r="28" spans="1:6">
      <c r="A28" t="s">
        <v>233</v>
      </c>
      <c r="B28" t="s">
        <v>61</v>
      </c>
      <c r="C28" t="s">
        <v>264</v>
      </c>
      <c r="D28" t="s">
        <v>258</v>
      </c>
      <c r="E28" t="s">
        <v>265</v>
      </c>
      <c r="F28" t="b">
        <v>0</v>
      </c>
    </row>
    <row r="29" spans="1:6">
      <c r="A29" t="s">
        <v>233</v>
      </c>
      <c r="B29" t="s">
        <v>61</v>
      </c>
      <c r="C29" t="s">
        <v>262</v>
      </c>
      <c r="D29" t="s">
        <v>258</v>
      </c>
      <c r="E29" t="s">
        <v>266</v>
      </c>
      <c r="F29" t="b">
        <v>1</v>
      </c>
    </row>
    <row r="30" spans="1:6">
      <c r="A30" t="s">
        <v>233</v>
      </c>
      <c r="B30" t="s">
        <v>61</v>
      </c>
      <c r="C30" t="s">
        <v>267</v>
      </c>
      <c r="D30" t="s">
        <v>258</v>
      </c>
      <c r="E30" t="s">
        <v>263</v>
      </c>
      <c r="F30" t="b">
        <v>0</v>
      </c>
    </row>
    <row r="31" spans="1:6">
      <c r="A31" t="s">
        <v>233</v>
      </c>
      <c r="B31" t="s">
        <v>61</v>
      </c>
      <c r="C31" t="s">
        <v>268</v>
      </c>
      <c r="D31" t="s">
        <v>258</v>
      </c>
      <c r="E31" t="s">
        <v>259</v>
      </c>
      <c r="F31" t="b">
        <v>0</v>
      </c>
    </row>
    <row r="32" spans="1:6">
      <c r="A32" t="s">
        <v>233</v>
      </c>
      <c r="B32" t="s">
        <v>61</v>
      </c>
      <c r="C32" t="s">
        <v>269</v>
      </c>
      <c r="D32" t="s">
        <v>258</v>
      </c>
      <c r="E32" t="s">
        <v>270</v>
      </c>
      <c r="F32" t="b">
        <v>1</v>
      </c>
    </row>
    <row r="33" spans="1:6">
      <c r="A33" t="s">
        <v>233</v>
      </c>
      <c r="B33" t="s">
        <v>73</v>
      </c>
      <c r="C33" t="s">
        <v>262</v>
      </c>
      <c r="D33" t="s">
        <v>258</v>
      </c>
      <c r="E33" t="s">
        <v>271</v>
      </c>
      <c r="F33" t="b">
        <v>0</v>
      </c>
    </row>
    <row r="34" spans="1:6">
      <c r="A34" t="s">
        <v>233</v>
      </c>
      <c r="B34" t="s">
        <v>73</v>
      </c>
      <c r="C34" t="s">
        <v>272</v>
      </c>
      <c r="D34" t="s">
        <v>258</v>
      </c>
      <c r="E34" t="s">
        <v>273</v>
      </c>
      <c r="F34" t="b">
        <v>0</v>
      </c>
    </row>
    <row r="35" spans="1:6">
      <c r="A35" t="s">
        <v>233</v>
      </c>
      <c r="B35" t="s">
        <v>73</v>
      </c>
      <c r="C35" t="s">
        <v>274</v>
      </c>
      <c r="D35" t="s">
        <v>258</v>
      </c>
      <c r="E35" t="s">
        <v>275</v>
      </c>
      <c r="F35" t="b">
        <v>1</v>
      </c>
    </row>
    <row r="36" spans="1:6">
      <c r="A36" t="s">
        <v>233</v>
      </c>
      <c r="B36" t="s">
        <v>73</v>
      </c>
      <c r="C36" t="s">
        <v>262</v>
      </c>
      <c r="D36" t="s">
        <v>258</v>
      </c>
      <c r="E36" t="s">
        <v>276</v>
      </c>
      <c r="F36" t="b">
        <v>1</v>
      </c>
    </row>
    <row r="37" spans="1:6">
      <c r="A37" t="s">
        <v>233</v>
      </c>
      <c r="B37" t="s">
        <v>73</v>
      </c>
      <c r="C37" t="s">
        <v>277</v>
      </c>
      <c r="D37" t="s">
        <v>258</v>
      </c>
      <c r="E37" t="s">
        <v>276</v>
      </c>
      <c r="F37" t="b">
        <v>1</v>
      </c>
    </row>
    <row r="38" spans="1:6">
      <c r="A38" t="s">
        <v>233</v>
      </c>
      <c r="B38" t="s">
        <v>278</v>
      </c>
      <c r="C38" t="s">
        <v>262</v>
      </c>
      <c r="D38" t="s">
        <v>258</v>
      </c>
      <c r="E38" t="s">
        <v>259</v>
      </c>
      <c r="F38" t="b">
        <v>0</v>
      </c>
    </row>
    <row r="39" spans="1:6">
      <c r="A39" t="s">
        <v>233</v>
      </c>
      <c r="B39" t="s">
        <v>278</v>
      </c>
      <c r="C39" t="s">
        <v>262</v>
      </c>
      <c r="D39" t="s">
        <v>258</v>
      </c>
      <c r="E39" t="s">
        <v>266</v>
      </c>
      <c r="F39" t="b">
        <v>1</v>
      </c>
    </row>
    <row r="40" spans="1:6">
      <c r="A40" t="s">
        <v>233</v>
      </c>
      <c r="B40" t="s">
        <v>278</v>
      </c>
      <c r="C40" t="s">
        <v>264</v>
      </c>
      <c r="D40" t="s">
        <v>258</v>
      </c>
      <c r="E40" t="s">
        <v>265</v>
      </c>
      <c r="F40" t="b">
        <v>0</v>
      </c>
    </row>
    <row r="41" spans="1:6">
      <c r="A41" t="s">
        <v>233</v>
      </c>
      <c r="B41" t="s">
        <v>278</v>
      </c>
      <c r="C41" t="s">
        <v>269</v>
      </c>
      <c r="D41" t="s">
        <v>258</v>
      </c>
      <c r="E41" t="s">
        <v>270</v>
      </c>
      <c r="F41" t="b">
        <v>1</v>
      </c>
    </row>
    <row r="42" spans="1:6">
      <c r="A42" t="s">
        <v>233</v>
      </c>
      <c r="B42" t="s">
        <v>278</v>
      </c>
      <c r="C42" t="s">
        <v>267</v>
      </c>
      <c r="D42" t="s">
        <v>258</v>
      </c>
      <c r="E42" t="s">
        <v>263</v>
      </c>
      <c r="F42" t="b">
        <v>0</v>
      </c>
    </row>
    <row r="43" spans="1:6">
      <c r="A43" t="s">
        <v>233</v>
      </c>
      <c r="B43" t="s">
        <v>278</v>
      </c>
      <c r="C43" t="s">
        <v>279</v>
      </c>
      <c r="D43" t="s">
        <v>258</v>
      </c>
      <c r="E43" t="s">
        <v>280</v>
      </c>
      <c r="F43" t="b">
        <v>0</v>
      </c>
    </row>
    <row r="44" spans="1:6">
      <c r="A44" t="s">
        <v>233</v>
      </c>
      <c r="B44" t="s">
        <v>278</v>
      </c>
      <c r="C44" t="s">
        <v>281</v>
      </c>
      <c r="D44" t="s">
        <v>258</v>
      </c>
      <c r="E44" t="s">
        <v>282</v>
      </c>
      <c r="F44" t="b">
        <v>0</v>
      </c>
    </row>
    <row r="45" spans="1:6">
      <c r="A45" t="s">
        <v>233</v>
      </c>
      <c r="B45" t="s">
        <v>278</v>
      </c>
      <c r="C45" t="s">
        <v>262</v>
      </c>
      <c r="D45" t="s">
        <v>258</v>
      </c>
      <c r="E45" t="s">
        <v>263</v>
      </c>
      <c r="F45" t="b">
        <v>0</v>
      </c>
    </row>
    <row r="46" spans="1:6">
      <c r="A46" t="s">
        <v>233</v>
      </c>
      <c r="B46" t="s">
        <v>283</v>
      </c>
      <c r="C46" t="s">
        <v>284</v>
      </c>
      <c r="D46" t="s">
        <v>258</v>
      </c>
      <c r="E46" t="s">
        <v>285</v>
      </c>
      <c r="F46" t="b">
        <v>0</v>
      </c>
    </row>
    <row r="47" spans="1:6">
      <c r="A47" t="s">
        <v>233</v>
      </c>
      <c r="B47" t="s">
        <v>283</v>
      </c>
      <c r="C47" t="s">
        <v>286</v>
      </c>
      <c r="D47" t="s">
        <v>258</v>
      </c>
      <c r="E47" t="s">
        <v>287</v>
      </c>
      <c r="F47" t="b">
        <v>0</v>
      </c>
    </row>
    <row r="48" spans="1:6">
      <c r="A48" t="s">
        <v>233</v>
      </c>
      <c r="B48" t="s">
        <v>283</v>
      </c>
      <c r="C48" t="s">
        <v>288</v>
      </c>
      <c r="D48" t="s">
        <v>258</v>
      </c>
      <c r="E48" t="s">
        <v>289</v>
      </c>
      <c r="F48" t="b">
        <v>1</v>
      </c>
    </row>
    <row r="49" spans="1:6">
      <c r="A49" t="s">
        <v>233</v>
      </c>
      <c r="B49" t="s">
        <v>283</v>
      </c>
      <c r="C49" t="s">
        <v>290</v>
      </c>
      <c r="D49" t="s">
        <v>258</v>
      </c>
      <c r="E49" t="s">
        <v>259</v>
      </c>
      <c r="F49" t="b">
        <v>0</v>
      </c>
    </row>
    <row r="50" spans="1:6">
      <c r="A50" t="s">
        <v>233</v>
      </c>
      <c r="B50" t="s">
        <v>283</v>
      </c>
      <c r="C50" t="s">
        <v>291</v>
      </c>
      <c r="D50" t="s">
        <v>258</v>
      </c>
      <c r="E50" t="s">
        <v>292</v>
      </c>
      <c r="F50" t="b">
        <v>0</v>
      </c>
    </row>
    <row r="51" spans="1:6">
      <c r="A51" t="s">
        <v>233</v>
      </c>
      <c r="B51" t="s">
        <v>283</v>
      </c>
      <c r="C51" t="s">
        <v>293</v>
      </c>
      <c r="D51" t="s">
        <v>258</v>
      </c>
      <c r="F51" t="b">
        <v>1</v>
      </c>
    </row>
    <row r="52" spans="1:6">
      <c r="A52" t="s">
        <v>233</v>
      </c>
      <c r="B52" t="s">
        <v>283</v>
      </c>
      <c r="C52" t="s">
        <v>294</v>
      </c>
      <c r="D52" t="s">
        <v>258</v>
      </c>
      <c r="E52" t="s">
        <v>295</v>
      </c>
      <c r="F52" t="b">
        <v>0</v>
      </c>
    </row>
    <row r="53" spans="1:6">
      <c r="A53" t="s">
        <v>233</v>
      </c>
      <c r="B53" t="s">
        <v>296</v>
      </c>
      <c r="C53" t="s">
        <v>297</v>
      </c>
      <c r="D53" t="s">
        <v>258</v>
      </c>
      <c r="F53" t="b">
        <v>0</v>
      </c>
    </row>
    <row r="54" spans="1:6">
      <c r="A54" t="s">
        <v>233</v>
      </c>
      <c r="B54" t="s">
        <v>296</v>
      </c>
      <c r="C54" t="s">
        <v>298</v>
      </c>
      <c r="D54" t="s">
        <v>258</v>
      </c>
      <c r="F54" t="b">
        <v>0</v>
      </c>
    </row>
    <row r="55" spans="1:6">
      <c r="A55" t="s">
        <v>233</v>
      </c>
      <c r="B55" t="s">
        <v>296</v>
      </c>
      <c r="C55" t="s">
        <v>299</v>
      </c>
      <c r="D55" t="s">
        <v>258</v>
      </c>
      <c r="F55" t="b">
        <v>0</v>
      </c>
    </row>
    <row r="56" spans="1:6">
      <c r="A56" t="s">
        <v>233</v>
      </c>
      <c r="B56" t="s">
        <v>296</v>
      </c>
      <c r="C56" t="s">
        <v>300</v>
      </c>
      <c r="D56" t="s">
        <v>258</v>
      </c>
      <c r="F56" t="b">
        <v>0</v>
      </c>
    </row>
    <row r="57" spans="1:6">
      <c r="A57" t="s">
        <v>233</v>
      </c>
      <c r="B57" t="s">
        <v>301</v>
      </c>
      <c r="C57" t="s">
        <v>302</v>
      </c>
      <c r="D57" t="s">
        <v>258</v>
      </c>
      <c r="E57" t="s">
        <v>303</v>
      </c>
      <c r="F57" t="b">
        <v>1</v>
      </c>
    </row>
    <row r="58" spans="1:6">
      <c r="A58" t="s">
        <v>233</v>
      </c>
      <c r="B58" t="s">
        <v>301</v>
      </c>
      <c r="C58" t="s">
        <v>304</v>
      </c>
      <c r="D58" t="s">
        <v>258</v>
      </c>
      <c r="F58" t="b">
        <v>1</v>
      </c>
    </row>
    <row r="59" spans="1:6">
      <c r="A59" t="s">
        <v>233</v>
      </c>
      <c r="B59" t="s">
        <v>301</v>
      </c>
      <c r="C59" t="s">
        <v>305</v>
      </c>
      <c r="D59" t="s">
        <v>258</v>
      </c>
      <c r="E59" t="s">
        <v>285</v>
      </c>
      <c r="F59" t="b">
        <v>0</v>
      </c>
    </row>
    <row r="60" spans="1:6">
      <c r="A60" t="s">
        <v>233</v>
      </c>
      <c r="B60" t="s">
        <v>301</v>
      </c>
      <c r="C60" t="s">
        <v>306</v>
      </c>
      <c r="D60" t="s">
        <v>258</v>
      </c>
      <c r="E60" t="s">
        <v>263</v>
      </c>
      <c r="F60" t="b">
        <v>0</v>
      </c>
    </row>
    <row r="61" spans="1:6">
      <c r="A61" t="s">
        <v>233</v>
      </c>
      <c r="B61" t="s">
        <v>301</v>
      </c>
      <c r="C61" t="s">
        <v>307</v>
      </c>
      <c r="D61" t="s">
        <v>258</v>
      </c>
      <c r="F61" t="b">
        <v>0</v>
      </c>
    </row>
    <row r="62" spans="1:6">
      <c r="A62" t="s">
        <v>233</v>
      </c>
      <c r="B62" t="s">
        <v>301</v>
      </c>
      <c r="C62" t="s">
        <v>302</v>
      </c>
      <c r="D62" t="s">
        <v>258</v>
      </c>
      <c r="E62" t="s">
        <v>263</v>
      </c>
      <c r="F62" t="b">
        <v>0</v>
      </c>
    </row>
    <row r="63" spans="1:6">
      <c r="A63" t="s">
        <v>233</v>
      </c>
      <c r="B63" t="s">
        <v>301</v>
      </c>
      <c r="C63" t="s">
        <v>308</v>
      </c>
      <c r="D63" t="s">
        <v>258</v>
      </c>
      <c r="F63" t="b">
        <v>0</v>
      </c>
    </row>
    <row r="64" spans="1:6">
      <c r="A64" t="s">
        <v>233</v>
      </c>
      <c r="B64" t="s">
        <v>301</v>
      </c>
      <c r="C64" t="s">
        <v>309</v>
      </c>
      <c r="D64" t="s">
        <v>258</v>
      </c>
      <c r="F64" t="b">
        <v>0</v>
      </c>
    </row>
    <row r="65" spans="1:6">
      <c r="A65" t="s">
        <v>233</v>
      </c>
      <c r="B65" t="s">
        <v>301</v>
      </c>
      <c r="C65" t="s">
        <v>305</v>
      </c>
      <c r="D65" t="s">
        <v>258</v>
      </c>
      <c r="E65" t="s">
        <v>303</v>
      </c>
      <c r="F65" t="b">
        <v>1</v>
      </c>
    </row>
    <row r="66" spans="1:6">
      <c r="A66" t="s">
        <v>233</v>
      </c>
      <c r="B66" t="s">
        <v>301</v>
      </c>
      <c r="C66" t="s">
        <v>310</v>
      </c>
      <c r="D66" t="s">
        <v>258</v>
      </c>
      <c r="F66" t="b">
        <v>1</v>
      </c>
    </row>
    <row r="67" spans="1:6">
      <c r="A67" t="s">
        <v>233</v>
      </c>
      <c r="B67" t="s">
        <v>301</v>
      </c>
      <c r="C67" t="s">
        <v>311</v>
      </c>
      <c r="D67" t="s">
        <v>258</v>
      </c>
      <c r="F67" t="b">
        <v>0</v>
      </c>
    </row>
    <row r="68" spans="1:6">
      <c r="A68" t="s">
        <v>233</v>
      </c>
      <c r="B68" t="s">
        <v>76</v>
      </c>
      <c r="C68" t="s">
        <v>312</v>
      </c>
      <c r="D68" t="s">
        <v>258</v>
      </c>
      <c r="E68" t="s">
        <v>313</v>
      </c>
      <c r="F68" t="b">
        <v>0</v>
      </c>
    </row>
    <row r="69" spans="1:6">
      <c r="A69" t="s">
        <v>233</v>
      </c>
      <c r="B69" t="s">
        <v>76</v>
      </c>
      <c r="C69" t="s">
        <v>314</v>
      </c>
      <c r="D69" t="s">
        <v>258</v>
      </c>
      <c r="E69" t="s">
        <v>315</v>
      </c>
      <c r="F69" t="b">
        <v>0</v>
      </c>
    </row>
    <row r="70" spans="1:6">
      <c r="A70" t="s">
        <v>233</v>
      </c>
      <c r="B70" t="s">
        <v>76</v>
      </c>
      <c r="C70" t="s">
        <v>316</v>
      </c>
      <c r="D70" t="s">
        <v>258</v>
      </c>
      <c r="F70" t="b">
        <v>1</v>
      </c>
    </row>
    <row r="71" spans="1:6">
      <c r="A71" t="s">
        <v>233</v>
      </c>
      <c r="B71" t="s">
        <v>76</v>
      </c>
      <c r="C71" t="s">
        <v>317</v>
      </c>
      <c r="D71" t="s">
        <v>258</v>
      </c>
      <c r="E71" t="s">
        <v>318</v>
      </c>
      <c r="F71" t="b">
        <v>0</v>
      </c>
    </row>
    <row r="72" spans="1:6">
      <c r="A72" t="s">
        <v>233</v>
      </c>
      <c r="B72" t="s">
        <v>76</v>
      </c>
      <c r="C72" t="s">
        <v>317</v>
      </c>
      <c r="D72" t="s">
        <v>258</v>
      </c>
      <c r="E72" t="s">
        <v>315</v>
      </c>
      <c r="F72" t="b">
        <v>0</v>
      </c>
    </row>
    <row r="73" spans="1:6">
      <c r="A73" t="s">
        <v>233</v>
      </c>
      <c r="B73" t="s">
        <v>76</v>
      </c>
      <c r="C73" t="s">
        <v>319</v>
      </c>
      <c r="D73" t="s">
        <v>258</v>
      </c>
      <c r="F73" t="b">
        <v>0</v>
      </c>
    </row>
    <row r="74" spans="1:6">
      <c r="A74" t="s">
        <v>233</v>
      </c>
      <c r="B74" t="s">
        <v>76</v>
      </c>
      <c r="C74" t="s">
        <v>320</v>
      </c>
      <c r="D74" t="s">
        <v>258</v>
      </c>
      <c r="F74" t="b">
        <v>1</v>
      </c>
    </row>
    <row r="75" spans="1:6">
      <c r="A75" t="s">
        <v>234</v>
      </c>
      <c r="B75" t="s">
        <v>61</v>
      </c>
      <c r="C75" t="s">
        <v>321</v>
      </c>
      <c r="D75" t="s">
        <v>322</v>
      </c>
      <c r="E75" t="s">
        <v>266</v>
      </c>
      <c r="F75" t="b">
        <v>1</v>
      </c>
    </row>
    <row r="76" spans="1:6">
      <c r="A76" t="s">
        <v>234</v>
      </c>
      <c r="B76" t="s">
        <v>61</v>
      </c>
      <c r="C76" t="s">
        <v>323</v>
      </c>
      <c r="D76" t="s">
        <v>322</v>
      </c>
      <c r="E76" t="s">
        <v>324</v>
      </c>
      <c r="F76" t="b">
        <v>0</v>
      </c>
    </row>
    <row r="77" spans="1:6">
      <c r="A77" t="s">
        <v>234</v>
      </c>
      <c r="B77" t="s">
        <v>73</v>
      </c>
      <c r="C77" t="s">
        <v>325</v>
      </c>
      <c r="D77" t="s">
        <v>322</v>
      </c>
      <c r="E77" t="s">
        <v>276</v>
      </c>
      <c r="F77" t="b">
        <v>1</v>
      </c>
    </row>
    <row r="78" spans="1:6">
      <c r="A78" t="s">
        <v>234</v>
      </c>
      <c r="B78" t="s">
        <v>73</v>
      </c>
      <c r="C78" t="s">
        <v>323</v>
      </c>
      <c r="D78" t="s">
        <v>322</v>
      </c>
      <c r="E78" t="s">
        <v>326</v>
      </c>
      <c r="F78" t="b">
        <v>0</v>
      </c>
    </row>
    <row r="79" spans="1:6">
      <c r="A79" t="s">
        <v>234</v>
      </c>
      <c r="B79" t="s">
        <v>278</v>
      </c>
      <c r="C79" t="s">
        <v>321</v>
      </c>
      <c r="D79" t="s">
        <v>322</v>
      </c>
      <c r="E79" t="s">
        <v>266</v>
      </c>
      <c r="F79" t="b">
        <v>1</v>
      </c>
    </row>
    <row r="80" spans="1:6">
      <c r="A80" t="s">
        <v>234</v>
      </c>
      <c r="B80" t="s">
        <v>278</v>
      </c>
      <c r="C80" t="s">
        <v>323</v>
      </c>
      <c r="D80" t="s">
        <v>322</v>
      </c>
      <c r="E80" t="s">
        <v>324</v>
      </c>
      <c r="F80" t="b">
        <v>0</v>
      </c>
    </row>
    <row r="81" spans="1:6">
      <c r="A81" t="s">
        <v>234</v>
      </c>
      <c r="B81" t="s">
        <v>296</v>
      </c>
      <c r="C81" t="s">
        <v>327</v>
      </c>
      <c r="D81" t="s">
        <v>322</v>
      </c>
      <c r="F81" t="b">
        <v>1</v>
      </c>
    </row>
    <row r="82" spans="1:6">
      <c r="A82" t="s">
        <v>234</v>
      </c>
      <c r="B82" t="s">
        <v>296</v>
      </c>
      <c r="C82" t="s">
        <v>328</v>
      </c>
      <c r="D82" t="s">
        <v>322</v>
      </c>
      <c r="F82" t="b">
        <v>0</v>
      </c>
    </row>
    <row r="83" spans="1:6">
      <c r="A83" t="s">
        <v>234</v>
      </c>
      <c r="B83" t="s">
        <v>296</v>
      </c>
      <c r="C83" t="s">
        <v>329</v>
      </c>
      <c r="D83" t="s">
        <v>322</v>
      </c>
      <c r="F83" t="b">
        <v>1</v>
      </c>
    </row>
    <row r="84" spans="1:6">
      <c r="A84" t="s">
        <v>234</v>
      </c>
      <c r="B84" t="s">
        <v>301</v>
      </c>
      <c r="C84" t="s">
        <v>330</v>
      </c>
      <c r="D84" t="s">
        <v>322</v>
      </c>
      <c r="F84" t="b">
        <v>0</v>
      </c>
    </row>
    <row r="85" spans="1:6">
      <c r="A85" t="s">
        <v>234</v>
      </c>
      <c r="B85" t="s">
        <v>301</v>
      </c>
      <c r="C85" t="s">
        <v>331</v>
      </c>
      <c r="D85" t="s">
        <v>322</v>
      </c>
      <c r="F85" t="b">
        <v>1</v>
      </c>
    </row>
    <row r="86" spans="1:6">
      <c r="A86" t="s">
        <v>234</v>
      </c>
      <c r="B86" t="s">
        <v>301</v>
      </c>
      <c r="C86" t="s">
        <v>332</v>
      </c>
      <c r="D86" t="s">
        <v>322</v>
      </c>
      <c r="F86" t="b">
        <v>1</v>
      </c>
    </row>
    <row r="87" spans="1:6">
      <c r="A87" t="s">
        <v>234</v>
      </c>
      <c r="B87" t="s">
        <v>301</v>
      </c>
      <c r="C87" t="s">
        <v>333</v>
      </c>
      <c r="D87" t="s">
        <v>322</v>
      </c>
      <c r="F87" t="b">
        <v>1</v>
      </c>
    </row>
    <row r="88" spans="1:6">
      <c r="A88" t="s">
        <v>235</v>
      </c>
      <c r="B88" t="s">
        <v>61</v>
      </c>
      <c r="C88" t="s">
        <v>334</v>
      </c>
      <c r="D88" t="s">
        <v>335</v>
      </c>
      <c r="E88" t="s">
        <v>336</v>
      </c>
      <c r="F88" t="b">
        <v>0</v>
      </c>
    </row>
    <row r="89" spans="1:6">
      <c r="A89" t="s">
        <v>235</v>
      </c>
      <c r="B89" t="s">
        <v>61</v>
      </c>
      <c r="C89" t="s">
        <v>337</v>
      </c>
      <c r="D89" t="s">
        <v>335</v>
      </c>
      <c r="E89" t="s">
        <v>266</v>
      </c>
      <c r="F89" t="b">
        <v>1</v>
      </c>
    </row>
    <row r="90" spans="1:6">
      <c r="A90" t="s">
        <v>235</v>
      </c>
      <c r="B90" t="s">
        <v>61</v>
      </c>
      <c r="C90" t="s">
        <v>338</v>
      </c>
      <c r="D90" t="s">
        <v>335</v>
      </c>
      <c r="E90" t="s">
        <v>339</v>
      </c>
      <c r="F90" t="b">
        <v>0</v>
      </c>
    </row>
    <row r="91" spans="1:6">
      <c r="A91" t="s">
        <v>235</v>
      </c>
      <c r="B91" t="s">
        <v>61</v>
      </c>
      <c r="C91" t="s">
        <v>340</v>
      </c>
      <c r="D91" t="s">
        <v>335</v>
      </c>
      <c r="E91" t="s">
        <v>266</v>
      </c>
      <c r="F91" t="b">
        <v>1</v>
      </c>
    </row>
    <row r="92" spans="1:6">
      <c r="A92" t="s">
        <v>235</v>
      </c>
      <c r="B92" t="s">
        <v>61</v>
      </c>
      <c r="C92" t="s">
        <v>341</v>
      </c>
      <c r="D92" t="s">
        <v>342</v>
      </c>
      <c r="E92" t="s">
        <v>339</v>
      </c>
      <c r="F92" t="b">
        <v>0</v>
      </c>
    </row>
    <row r="93" spans="1:6">
      <c r="A93" t="s">
        <v>235</v>
      </c>
      <c r="B93" t="s">
        <v>61</v>
      </c>
      <c r="C93" t="s">
        <v>343</v>
      </c>
      <c r="D93" t="s">
        <v>335</v>
      </c>
      <c r="E93" t="s">
        <v>266</v>
      </c>
      <c r="F93" t="b">
        <v>1</v>
      </c>
    </row>
    <row r="94" spans="1:6">
      <c r="A94" t="s">
        <v>235</v>
      </c>
      <c r="B94" t="s">
        <v>61</v>
      </c>
      <c r="C94" t="s">
        <v>344</v>
      </c>
      <c r="D94" t="s">
        <v>335</v>
      </c>
      <c r="E94" t="s">
        <v>339</v>
      </c>
      <c r="F94" t="b">
        <v>0</v>
      </c>
    </row>
    <row r="95" spans="1:6">
      <c r="A95" t="s">
        <v>235</v>
      </c>
      <c r="B95" t="s">
        <v>61</v>
      </c>
      <c r="C95" t="s">
        <v>345</v>
      </c>
      <c r="D95" t="s">
        <v>335</v>
      </c>
      <c r="E95" t="s">
        <v>336</v>
      </c>
      <c r="F95" t="b">
        <v>0</v>
      </c>
    </row>
    <row r="96" spans="1:6">
      <c r="A96" t="s">
        <v>235</v>
      </c>
      <c r="B96" t="s">
        <v>61</v>
      </c>
      <c r="C96" t="s">
        <v>346</v>
      </c>
      <c r="D96" t="s">
        <v>335</v>
      </c>
      <c r="E96" t="s">
        <v>266</v>
      </c>
      <c r="F96" t="b">
        <v>1</v>
      </c>
    </row>
    <row r="97" spans="1:6">
      <c r="A97" t="s">
        <v>235</v>
      </c>
      <c r="B97" t="s">
        <v>61</v>
      </c>
      <c r="C97" t="s">
        <v>347</v>
      </c>
      <c r="D97" t="s">
        <v>335</v>
      </c>
      <c r="E97" t="s">
        <v>339</v>
      </c>
      <c r="F97" t="b">
        <v>0</v>
      </c>
    </row>
    <row r="98" spans="1:6">
      <c r="A98" t="s">
        <v>235</v>
      </c>
      <c r="B98" t="s">
        <v>73</v>
      </c>
      <c r="C98" t="s">
        <v>348</v>
      </c>
      <c r="D98" t="s">
        <v>349</v>
      </c>
      <c r="E98" t="s">
        <v>350</v>
      </c>
      <c r="F98" t="b">
        <v>0</v>
      </c>
    </row>
    <row r="99" spans="1:6">
      <c r="A99" t="s">
        <v>235</v>
      </c>
      <c r="B99" t="s">
        <v>73</v>
      </c>
      <c r="C99" t="s">
        <v>351</v>
      </c>
      <c r="D99" t="s">
        <v>349</v>
      </c>
      <c r="E99" t="s">
        <v>339</v>
      </c>
      <c r="F99" t="b">
        <v>0</v>
      </c>
    </row>
    <row r="100" spans="1:6">
      <c r="A100" t="s">
        <v>235</v>
      </c>
      <c r="B100" t="s">
        <v>73</v>
      </c>
      <c r="C100" t="s">
        <v>352</v>
      </c>
      <c r="D100" t="s">
        <v>349</v>
      </c>
      <c r="E100" t="s">
        <v>339</v>
      </c>
      <c r="F100" t="b">
        <v>0</v>
      </c>
    </row>
    <row r="101" spans="1:6">
      <c r="A101" t="s">
        <v>235</v>
      </c>
      <c r="B101" t="s">
        <v>73</v>
      </c>
      <c r="C101" t="s">
        <v>353</v>
      </c>
      <c r="D101" t="s">
        <v>349</v>
      </c>
      <c r="E101" t="s">
        <v>339</v>
      </c>
      <c r="F101" t="b">
        <v>0</v>
      </c>
    </row>
    <row r="102" spans="1:6">
      <c r="A102" t="s">
        <v>235</v>
      </c>
      <c r="B102" t="s">
        <v>73</v>
      </c>
      <c r="C102" t="s">
        <v>354</v>
      </c>
      <c r="D102" t="s">
        <v>349</v>
      </c>
      <c r="E102" t="s">
        <v>355</v>
      </c>
      <c r="F102" t="b">
        <v>0</v>
      </c>
    </row>
    <row r="103" spans="1:6">
      <c r="A103" t="s">
        <v>235</v>
      </c>
      <c r="B103" t="s">
        <v>73</v>
      </c>
      <c r="C103" t="s">
        <v>356</v>
      </c>
      <c r="D103" t="s">
        <v>349</v>
      </c>
      <c r="E103" t="s">
        <v>339</v>
      </c>
      <c r="F103" t="b">
        <v>0</v>
      </c>
    </row>
    <row r="104" spans="1:6">
      <c r="A104" t="s">
        <v>235</v>
      </c>
      <c r="B104" t="s">
        <v>73</v>
      </c>
      <c r="C104" t="s">
        <v>357</v>
      </c>
      <c r="D104" t="s">
        <v>349</v>
      </c>
      <c r="E104" t="s">
        <v>350</v>
      </c>
      <c r="F104" t="b">
        <v>0</v>
      </c>
    </row>
    <row r="105" spans="1:6">
      <c r="A105" t="s">
        <v>235</v>
      </c>
      <c r="B105" t="s">
        <v>73</v>
      </c>
      <c r="C105" t="s">
        <v>358</v>
      </c>
      <c r="D105" t="s">
        <v>349</v>
      </c>
      <c r="E105" t="s">
        <v>350</v>
      </c>
      <c r="F105" t="b">
        <v>0</v>
      </c>
    </row>
    <row r="106" spans="1:6">
      <c r="A106" t="s">
        <v>235</v>
      </c>
      <c r="B106" t="s">
        <v>73</v>
      </c>
      <c r="C106" t="s">
        <v>359</v>
      </c>
      <c r="D106" t="s">
        <v>349</v>
      </c>
      <c r="E106" t="s">
        <v>276</v>
      </c>
      <c r="F106" t="b">
        <v>1</v>
      </c>
    </row>
    <row r="107" spans="1:6">
      <c r="A107" t="s">
        <v>235</v>
      </c>
      <c r="B107" t="s">
        <v>73</v>
      </c>
      <c r="C107" t="s">
        <v>356</v>
      </c>
      <c r="D107" t="s">
        <v>349</v>
      </c>
      <c r="E107" t="s">
        <v>350</v>
      </c>
      <c r="F107" t="b">
        <v>0</v>
      </c>
    </row>
    <row r="108" spans="1:6">
      <c r="A108" t="s">
        <v>235</v>
      </c>
      <c r="B108" t="s">
        <v>73</v>
      </c>
      <c r="C108" t="s">
        <v>351</v>
      </c>
      <c r="D108" t="s">
        <v>349</v>
      </c>
      <c r="E108" t="s">
        <v>276</v>
      </c>
      <c r="F108" t="b">
        <v>1</v>
      </c>
    </row>
    <row r="109" spans="1:6">
      <c r="A109" t="s">
        <v>235</v>
      </c>
      <c r="B109" t="s">
        <v>73</v>
      </c>
      <c r="C109" t="s">
        <v>360</v>
      </c>
      <c r="D109" t="s">
        <v>349</v>
      </c>
      <c r="E109" t="s">
        <v>339</v>
      </c>
      <c r="F109" t="b">
        <v>0</v>
      </c>
    </row>
    <row r="110" spans="1:6">
      <c r="A110" t="s">
        <v>235</v>
      </c>
      <c r="B110" t="s">
        <v>73</v>
      </c>
      <c r="C110" t="s">
        <v>361</v>
      </c>
      <c r="D110" t="s">
        <v>349</v>
      </c>
      <c r="E110" t="s">
        <v>339</v>
      </c>
      <c r="F110" t="b">
        <v>0</v>
      </c>
    </row>
    <row r="111" spans="1:6">
      <c r="A111" t="s">
        <v>235</v>
      </c>
      <c r="B111" t="s">
        <v>73</v>
      </c>
      <c r="C111" t="s">
        <v>362</v>
      </c>
      <c r="D111" t="s">
        <v>349</v>
      </c>
      <c r="E111" t="s">
        <v>339</v>
      </c>
      <c r="F111" t="b">
        <v>0</v>
      </c>
    </row>
    <row r="112" spans="1:6">
      <c r="A112" t="s">
        <v>235</v>
      </c>
      <c r="B112" t="s">
        <v>73</v>
      </c>
      <c r="C112" t="s">
        <v>363</v>
      </c>
      <c r="D112" t="s">
        <v>349</v>
      </c>
      <c r="E112" t="s">
        <v>339</v>
      </c>
      <c r="F112" t="b">
        <v>0</v>
      </c>
    </row>
    <row r="113" spans="1:6">
      <c r="A113" t="s">
        <v>235</v>
      </c>
      <c r="B113" t="s">
        <v>73</v>
      </c>
      <c r="C113" t="s">
        <v>364</v>
      </c>
      <c r="D113" t="s">
        <v>349</v>
      </c>
      <c r="E113" t="s">
        <v>276</v>
      </c>
      <c r="F113" t="b">
        <v>1</v>
      </c>
    </row>
    <row r="114" spans="1:6">
      <c r="A114" t="s">
        <v>235</v>
      </c>
      <c r="B114" t="s">
        <v>73</v>
      </c>
      <c r="C114" t="s">
        <v>365</v>
      </c>
      <c r="D114" t="s">
        <v>349</v>
      </c>
      <c r="E114" t="s">
        <v>366</v>
      </c>
      <c r="F114" t="b">
        <v>0</v>
      </c>
    </row>
    <row r="115" spans="1:6">
      <c r="A115" t="s">
        <v>235</v>
      </c>
      <c r="B115" t="s">
        <v>73</v>
      </c>
      <c r="C115" t="s">
        <v>367</v>
      </c>
      <c r="D115" t="s">
        <v>349</v>
      </c>
      <c r="E115" t="s">
        <v>339</v>
      </c>
      <c r="F115" t="b">
        <v>0</v>
      </c>
    </row>
    <row r="116" spans="1:6">
      <c r="A116" t="s">
        <v>235</v>
      </c>
      <c r="B116" t="s">
        <v>278</v>
      </c>
      <c r="C116" t="s">
        <v>344</v>
      </c>
      <c r="D116" t="s">
        <v>335</v>
      </c>
      <c r="E116" t="s">
        <v>339</v>
      </c>
      <c r="F116" t="b">
        <v>0</v>
      </c>
    </row>
    <row r="117" spans="1:6">
      <c r="A117" t="s">
        <v>235</v>
      </c>
      <c r="B117" t="s">
        <v>278</v>
      </c>
      <c r="C117" t="s">
        <v>368</v>
      </c>
      <c r="D117" t="s">
        <v>335</v>
      </c>
      <c r="E117" t="s">
        <v>355</v>
      </c>
      <c r="F117" t="b">
        <v>0</v>
      </c>
    </row>
    <row r="118" spans="1:6">
      <c r="A118" t="s">
        <v>235</v>
      </c>
      <c r="B118" t="s">
        <v>278</v>
      </c>
      <c r="C118" t="s">
        <v>341</v>
      </c>
      <c r="D118" t="s">
        <v>335</v>
      </c>
      <c r="E118" t="s">
        <v>339</v>
      </c>
      <c r="F118" t="b">
        <v>0</v>
      </c>
    </row>
    <row r="119" spans="1:6">
      <c r="A119" t="s">
        <v>235</v>
      </c>
      <c r="B119" t="s">
        <v>278</v>
      </c>
      <c r="C119" t="s">
        <v>346</v>
      </c>
      <c r="D119" t="s">
        <v>335</v>
      </c>
      <c r="E119" t="s">
        <v>266</v>
      </c>
      <c r="F119" t="b">
        <v>1</v>
      </c>
    </row>
    <row r="120" spans="1:6">
      <c r="A120" t="s">
        <v>235</v>
      </c>
      <c r="B120" t="s">
        <v>278</v>
      </c>
      <c r="C120" t="s">
        <v>340</v>
      </c>
      <c r="D120" t="s">
        <v>335</v>
      </c>
      <c r="E120" t="s">
        <v>266</v>
      </c>
      <c r="F120" t="b">
        <v>1</v>
      </c>
    </row>
    <row r="121" spans="1:6">
      <c r="A121" t="s">
        <v>235</v>
      </c>
      <c r="B121" t="s">
        <v>278</v>
      </c>
      <c r="C121" t="s">
        <v>369</v>
      </c>
      <c r="D121" t="s">
        <v>335</v>
      </c>
      <c r="E121" t="s">
        <v>355</v>
      </c>
      <c r="F121" t="b">
        <v>0</v>
      </c>
    </row>
    <row r="122" spans="1:6">
      <c r="A122" t="s">
        <v>235</v>
      </c>
      <c r="B122" t="s">
        <v>278</v>
      </c>
      <c r="C122" t="s">
        <v>340</v>
      </c>
      <c r="D122" t="s">
        <v>342</v>
      </c>
      <c r="E122" t="s">
        <v>266</v>
      </c>
      <c r="F122" t="b">
        <v>1</v>
      </c>
    </row>
    <row r="123" spans="1:6">
      <c r="A123" t="s">
        <v>235</v>
      </c>
      <c r="B123" t="s">
        <v>278</v>
      </c>
      <c r="C123" t="s">
        <v>341</v>
      </c>
      <c r="D123" t="s">
        <v>342</v>
      </c>
      <c r="E123" t="s">
        <v>339</v>
      </c>
      <c r="F123" t="b">
        <v>0</v>
      </c>
    </row>
    <row r="124" spans="1:6">
      <c r="A124" t="s">
        <v>235</v>
      </c>
      <c r="B124" t="s">
        <v>278</v>
      </c>
      <c r="C124" t="s">
        <v>343</v>
      </c>
      <c r="D124" t="s">
        <v>335</v>
      </c>
      <c r="E124" t="s">
        <v>266</v>
      </c>
      <c r="F124" t="b">
        <v>1</v>
      </c>
    </row>
    <row r="125" spans="1:6">
      <c r="A125" t="s">
        <v>235</v>
      </c>
      <c r="B125" t="s">
        <v>278</v>
      </c>
      <c r="C125" t="s">
        <v>370</v>
      </c>
      <c r="D125" t="s">
        <v>335</v>
      </c>
      <c r="E125" t="s">
        <v>355</v>
      </c>
      <c r="F125" t="b">
        <v>0</v>
      </c>
    </row>
    <row r="126" spans="1:6">
      <c r="A126" t="s">
        <v>235</v>
      </c>
      <c r="B126" t="s">
        <v>278</v>
      </c>
      <c r="C126" t="s">
        <v>347</v>
      </c>
      <c r="D126" t="s">
        <v>335</v>
      </c>
      <c r="E126" t="s">
        <v>339</v>
      </c>
      <c r="F126" t="b">
        <v>0</v>
      </c>
    </row>
    <row r="127" spans="1:6">
      <c r="A127" t="s">
        <v>235</v>
      </c>
      <c r="B127" t="s">
        <v>278</v>
      </c>
      <c r="C127" t="s">
        <v>371</v>
      </c>
      <c r="D127" t="s">
        <v>335</v>
      </c>
      <c r="E127" t="s">
        <v>355</v>
      </c>
      <c r="F127" t="b">
        <v>0</v>
      </c>
    </row>
    <row r="128" spans="1:6">
      <c r="A128" t="s">
        <v>235</v>
      </c>
      <c r="B128" t="s">
        <v>278</v>
      </c>
      <c r="C128" t="s">
        <v>337</v>
      </c>
      <c r="D128" t="s">
        <v>335</v>
      </c>
      <c r="E128" t="s">
        <v>266</v>
      </c>
      <c r="F128" t="b">
        <v>1</v>
      </c>
    </row>
    <row r="129" spans="1:6">
      <c r="A129" t="s">
        <v>235</v>
      </c>
      <c r="B129" t="s">
        <v>283</v>
      </c>
      <c r="C129" t="s">
        <v>372</v>
      </c>
      <c r="D129" t="s">
        <v>373</v>
      </c>
      <c r="E129" t="s">
        <v>289</v>
      </c>
      <c r="F129" t="b">
        <v>1</v>
      </c>
    </row>
    <row r="130" spans="1:6">
      <c r="A130" t="s">
        <v>235</v>
      </c>
      <c r="B130" t="s">
        <v>283</v>
      </c>
      <c r="C130" t="s">
        <v>374</v>
      </c>
      <c r="D130" t="s">
        <v>373</v>
      </c>
      <c r="E130" t="s">
        <v>375</v>
      </c>
      <c r="F130" t="b">
        <v>0</v>
      </c>
    </row>
    <row r="131" spans="1:6">
      <c r="A131" t="s">
        <v>235</v>
      </c>
      <c r="B131" t="s">
        <v>283</v>
      </c>
      <c r="C131" t="s">
        <v>376</v>
      </c>
      <c r="D131" t="s">
        <v>373</v>
      </c>
      <c r="E131" t="s">
        <v>289</v>
      </c>
      <c r="F131" t="b">
        <v>1</v>
      </c>
    </row>
    <row r="132" spans="1:6">
      <c r="A132" t="s">
        <v>235</v>
      </c>
      <c r="B132" t="s">
        <v>283</v>
      </c>
      <c r="C132" t="s">
        <v>377</v>
      </c>
      <c r="D132" t="s">
        <v>373</v>
      </c>
      <c r="E132" t="s">
        <v>378</v>
      </c>
      <c r="F132" t="b">
        <v>0</v>
      </c>
    </row>
    <row r="133" spans="1:6">
      <c r="A133" t="s">
        <v>235</v>
      </c>
      <c r="B133" t="s">
        <v>283</v>
      </c>
      <c r="C133" t="s">
        <v>379</v>
      </c>
      <c r="D133" t="s">
        <v>373</v>
      </c>
      <c r="E133" t="s">
        <v>289</v>
      </c>
      <c r="F133" t="b">
        <v>1</v>
      </c>
    </row>
    <row r="134" spans="1:6">
      <c r="A134" t="s">
        <v>235</v>
      </c>
      <c r="B134" t="s">
        <v>283</v>
      </c>
      <c r="C134" t="s">
        <v>380</v>
      </c>
      <c r="D134" t="s">
        <v>373</v>
      </c>
      <c r="E134" t="s">
        <v>289</v>
      </c>
      <c r="F134" t="b">
        <v>1</v>
      </c>
    </row>
    <row r="135" spans="1:6">
      <c r="A135" t="s">
        <v>235</v>
      </c>
      <c r="B135" t="s">
        <v>296</v>
      </c>
      <c r="C135" t="s">
        <v>381</v>
      </c>
      <c r="D135" t="s">
        <v>382</v>
      </c>
      <c r="F135" t="b">
        <v>0</v>
      </c>
    </row>
    <row r="136" spans="1:6">
      <c r="A136" t="s">
        <v>235</v>
      </c>
      <c r="B136" t="s">
        <v>296</v>
      </c>
      <c r="C136" t="s">
        <v>383</v>
      </c>
      <c r="D136" t="s">
        <v>382</v>
      </c>
      <c r="F136" t="b">
        <v>0</v>
      </c>
    </row>
    <row r="137" spans="1:6">
      <c r="A137" t="s">
        <v>235</v>
      </c>
      <c r="B137" t="s">
        <v>296</v>
      </c>
      <c r="C137" t="s">
        <v>384</v>
      </c>
      <c r="D137" t="s">
        <v>382</v>
      </c>
      <c r="F137" t="b">
        <v>0</v>
      </c>
    </row>
    <row r="138" spans="1:6">
      <c r="A138" t="s">
        <v>235</v>
      </c>
      <c r="B138" t="s">
        <v>296</v>
      </c>
      <c r="C138" t="s">
        <v>385</v>
      </c>
      <c r="D138" t="s">
        <v>382</v>
      </c>
      <c r="F138" t="b">
        <v>0</v>
      </c>
    </row>
    <row r="139" spans="1:6">
      <c r="A139" t="s">
        <v>235</v>
      </c>
      <c r="B139" t="s">
        <v>296</v>
      </c>
      <c r="C139" t="s">
        <v>386</v>
      </c>
      <c r="D139" t="s">
        <v>382</v>
      </c>
      <c r="F139" t="b">
        <v>0</v>
      </c>
    </row>
    <row r="140" spans="1:6">
      <c r="A140" t="s">
        <v>235</v>
      </c>
      <c r="B140" t="s">
        <v>301</v>
      </c>
      <c r="C140" t="s">
        <v>387</v>
      </c>
      <c r="D140" t="s">
        <v>388</v>
      </c>
      <c r="F140" t="b">
        <v>1</v>
      </c>
    </row>
    <row r="141" spans="1:6">
      <c r="A141" t="s">
        <v>235</v>
      </c>
      <c r="B141" t="s">
        <v>301</v>
      </c>
      <c r="C141" t="s">
        <v>389</v>
      </c>
      <c r="D141" t="s">
        <v>388</v>
      </c>
      <c r="E141" t="s">
        <v>390</v>
      </c>
      <c r="F141" t="b">
        <v>0</v>
      </c>
    </row>
    <row r="142" spans="1:6">
      <c r="A142" t="s">
        <v>235</v>
      </c>
      <c r="B142" t="s">
        <v>301</v>
      </c>
      <c r="C142" t="s">
        <v>391</v>
      </c>
      <c r="D142" t="s">
        <v>388</v>
      </c>
      <c r="E142" t="s">
        <v>303</v>
      </c>
      <c r="F142" t="b">
        <v>1</v>
      </c>
    </row>
    <row r="143" spans="1:6">
      <c r="A143" t="s">
        <v>235</v>
      </c>
      <c r="B143" t="s">
        <v>301</v>
      </c>
      <c r="C143" t="s">
        <v>392</v>
      </c>
      <c r="D143" t="s">
        <v>388</v>
      </c>
      <c r="E143" t="s">
        <v>393</v>
      </c>
      <c r="F143" t="b">
        <v>1</v>
      </c>
    </row>
    <row r="144" spans="1:6">
      <c r="A144" t="s">
        <v>235</v>
      </c>
      <c r="B144" t="s">
        <v>301</v>
      </c>
      <c r="C144" t="s">
        <v>394</v>
      </c>
      <c r="D144" t="s">
        <v>388</v>
      </c>
      <c r="F144" t="b">
        <v>0</v>
      </c>
    </row>
    <row r="145" spans="1:6">
      <c r="A145" t="s">
        <v>235</v>
      </c>
      <c r="B145" t="s">
        <v>301</v>
      </c>
      <c r="C145" t="s">
        <v>395</v>
      </c>
      <c r="D145" t="s">
        <v>388</v>
      </c>
      <c r="F145" t="b">
        <v>0</v>
      </c>
    </row>
    <row r="146" spans="1:6">
      <c r="A146" t="s">
        <v>235</v>
      </c>
      <c r="B146" t="s">
        <v>301</v>
      </c>
      <c r="C146" t="s">
        <v>396</v>
      </c>
      <c r="D146" t="s">
        <v>388</v>
      </c>
      <c r="F146" t="b">
        <v>0</v>
      </c>
    </row>
    <row r="147" spans="1:6">
      <c r="A147" t="s">
        <v>235</v>
      </c>
      <c r="B147" t="s">
        <v>301</v>
      </c>
      <c r="C147" t="s">
        <v>397</v>
      </c>
      <c r="D147" t="s">
        <v>388</v>
      </c>
      <c r="F147" t="b">
        <v>1</v>
      </c>
    </row>
    <row r="148" spans="1:6">
      <c r="A148" t="s">
        <v>235</v>
      </c>
      <c r="B148" t="s">
        <v>301</v>
      </c>
      <c r="C148" t="s">
        <v>398</v>
      </c>
      <c r="D148" t="s">
        <v>388</v>
      </c>
      <c r="F148" t="b">
        <v>0</v>
      </c>
    </row>
    <row r="149" spans="1:6">
      <c r="A149" t="s">
        <v>235</v>
      </c>
      <c r="B149" t="s">
        <v>301</v>
      </c>
      <c r="C149" t="s">
        <v>399</v>
      </c>
      <c r="D149" t="s">
        <v>388</v>
      </c>
      <c r="F149" t="b">
        <v>0</v>
      </c>
    </row>
    <row r="150" spans="1:6">
      <c r="A150" t="s">
        <v>235</v>
      </c>
      <c r="B150" t="s">
        <v>301</v>
      </c>
      <c r="C150" t="s">
        <v>399</v>
      </c>
      <c r="D150" t="s">
        <v>388</v>
      </c>
      <c r="E150" t="s">
        <v>390</v>
      </c>
      <c r="F150" t="b">
        <v>0</v>
      </c>
    </row>
    <row r="151" spans="1:6">
      <c r="A151" t="s">
        <v>235</v>
      </c>
      <c r="B151" t="s">
        <v>301</v>
      </c>
      <c r="C151" t="s">
        <v>398</v>
      </c>
      <c r="D151" t="s">
        <v>388</v>
      </c>
      <c r="E151" t="s">
        <v>390</v>
      </c>
      <c r="F151" t="b">
        <v>0</v>
      </c>
    </row>
    <row r="152" spans="1:6">
      <c r="A152" t="s">
        <v>235</v>
      </c>
      <c r="B152" t="s">
        <v>301</v>
      </c>
      <c r="C152" t="s">
        <v>400</v>
      </c>
      <c r="D152" t="s">
        <v>388</v>
      </c>
      <c r="E152" t="s">
        <v>390</v>
      </c>
      <c r="F152" t="b">
        <v>0</v>
      </c>
    </row>
    <row r="153" spans="1:6">
      <c r="A153" t="s">
        <v>235</v>
      </c>
      <c r="B153" t="s">
        <v>301</v>
      </c>
      <c r="C153" t="s">
        <v>400</v>
      </c>
      <c r="D153" t="s">
        <v>388</v>
      </c>
      <c r="F153" t="b">
        <v>0</v>
      </c>
    </row>
    <row r="154" spans="1:6">
      <c r="A154" t="s">
        <v>235</v>
      </c>
      <c r="B154" t="s">
        <v>301</v>
      </c>
      <c r="C154" t="s">
        <v>401</v>
      </c>
      <c r="D154" t="s">
        <v>388</v>
      </c>
      <c r="E154" t="s">
        <v>390</v>
      </c>
      <c r="F154" t="b">
        <v>0</v>
      </c>
    </row>
    <row r="155" spans="1:6">
      <c r="A155" t="s">
        <v>235</v>
      </c>
      <c r="B155" t="s">
        <v>301</v>
      </c>
      <c r="C155" t="s">
        <v>402</v>
      </c>
      <c r="D155" t="s">
        <v>388</v>
      </c>
      <c r="F155" t="b">
        <v>0</v>
      </c>
    </row>
    <row r="156" spans="1:6">
      <c r="A156" t="s">
        <v>235</v>
      </c>
      <c r="B156" t="s">
        <v>301</v>
      </c>
      <c r="C156" t="s">
        <v>403</v>
      </c>
      <c r="D156" t="s">
        <v>388</v>
      </c>
      <c r="F156" t="b">
        <v>0</v>
      </c>
    </row>
    <row r="157" spans="1:6">
      <c r="A157" t="s">
        <v>235</v>
      </c>
      <c r="B157" t="s">
        <v>301</v>
      </c>
      <c r="C157" t="s">
        <v>404</v>
      </c>
      <c r="D157" t="s">
        <v>388</v>
      </c>
      <c r="E157" t="s">
        <v>393</v>
      </c>
      <c r="F157" t="b">
        <v>1</v>
      </c>
    </row>
    <row r="158" spans="1:6">
      <c r="A158" t="s">
        <v>235</v>
      </c>
      <c r="B158" t="s">
        <v>301</v>
      </c>
      <c r="C158" t="s">
        <v>405</v>
      </c>
      <c r="D158" t="s">
        <v>388</v>
      </c>
      <c r="F158" t="b">
        <v>1</v>
      </c>
    </row>
    <row r="159" spans="1:6">
      <c r="A159" t="s">
        <v>235</v>
      </c>
      <c r="B159" t="s">
        <v>301</v>
      </c>
      <c r="C159" t="s">
        <v>396</v>
      </c>
      <c r="D159" t="s">
        <v>388</v>
      </c>
      <c r="E159" t="s">
        <v>390</v>
      </c>
      <c r="F159" t="b">
        <v>0</v>
      </c>
    </row>
    <row r="160" spans="1:6">
      <c r="A160" t="s">
        <v>235</v>
      </c>
      <c r="B160" t="s">
        <v>76</v>
      </c>
      <c r="C160" t="s">
        <v>406</v>
      </c>
      <c r="D160" t="s">
        <v>407</v>
      </c>
      <c r="E160" t="s">
        <v>408</v>
      </c>
      <c r="F160" t="b">
        <v>0</v>
      </c>
    </row>
    <row r="161" spans="1:6">
      <c r="A161" t="s">
        <v>235</v>
      </c>
      <c r="B161" t="s">
        <v>76</v>
      </c>
      <c r="C161" t="s">
        <v>406</v>
      </c>
      <c r="D161" t="s">
        <v>407</v>
      </c>
      <c r="E161" t="s">
        <v>355</v>
      </c>
      <c r="F161" t="b">
        <v>0</v>
      </c>
    </row>
    <row r="162" spans="1:6">
      <c r="A162" t="s">
        <v>235</v>
      </c>
      <c r="B162" t="s">
        <v>76</v>
      </c>
      <c r="C162" t="s">
        <v>409</v>
      </c>
      <c r="D162" t="s">
        <v>410</v>
      </c>
      <c r="E162" t="s">
        <v>411</v>
      </c>
      <c r="F162" t="b">
        <v>0</v>
      </c>
    </row>
    <row r="163" spans="1:6">
      <c r="A163" t="s">
        <v>235</v>
      </c>
      <c r="B163" t="s">
        <v>76</v>
      </c>
      <c r="C163" t="s">
        <v>412</v>
      </c>
      <c r="D163" t="s">
        <v>407</v>
      </c>
      <c r="E163" t="s">
        <v>413</v>
      </c>
      <c r="F163" t="b">
        <v>0</v>
      </c>
    </row>
    <row r="164" spans="1:6">
      <c r="A164" t="s">
        <v>235</v>
      </c>
      <c r="B164" t="s">
        <v>76</v>
      </c>
      <c r="C164" t="s">
        <v>414</v>
      </c>
      <c r="D164" t="s">
        <v>407</v>
      </c>
      <c r="F164" t="b">
        <v>1</v>
      </c>
    </row>
    <row r="165" spans="1:6">
      <c r="A165" t="s">
        <v>235</v>
      </c>
      <c r="B165" t="s">
        <v>76</v>
      </c>
      <c r="C165" t="s">
        <v>415</v>
      </c>
      <c r="D165" t="s">
        <v>407</v>
      </c>
      <c r="E165" t="s">
        <v>416</v>
      </c>
      <c r="F165" t="b">
        <v>0</v>
      </c>
    </row>
    <row r="166" spans="1:6">
      <c r="A166" t="s">
        <v>235</v>
      </c>
      <c r="B166" t="s">
        <v>76</v>
      </c>
      <c r="C166" t="s">
        <v>406</v>
      </c>
      <c r="D166" t="s">
        <v>407</v>
      </c>
      <c r="E166" t="s">
        <v>417</v>
      </c>
      <c r="F166" t="b">
        <v>0</v>
      </c>
    </row>
    <row r="167" spans="1:6">
      <c r="A167" t="s">
        <v>235</v>
      </c>
      <c r="B167" t="s">
        <v>76</v>
      </c>
      <c r="C167" t="s">
        <v>418</v>
      </c>
      <c r="D167" t="s">
        <v>407</v>
      </c>
      <c r="F167" t="b">
        <v>0</v>
      </c>
    </row>
    <row r="168" spans="1:6">
      <c r="A168" t="s">
        <v>235</v>
      </c>
      <c r="B168" t="s">
        <v>76</v>
      </c>
      <c r="C168" t="s">
        <v>406</v>
      </c>
      <c r="D168" t="s">
        <v>407</v>
      </c>
      <c r="E168" t="s">
        <v>419</v>
      </c>
      <c r="F168" t="b">
        <v>0</v>
      </c>
    </row>
    <row r="169" spans="1:6">
      <c r="A169" t="s">
        <v>235</v>
      </c>
      <c r="B169" t="s">
        <v>76</v>
      </c>
      <c r="C169" t="s">
        <v>420</v>
      </c>
      <c r="D169" t="s">
        <v>407</v>
      </c>
      <c r="E169" t="s">
        <v>421</v>
      </c>
      <c r="F169" t="b">
        <v>0</v>
      </c>
    </row>
    <row r="170" spans="1:6">
      <c r="A170" t="s">
        <v>235</v>
      </c>
      <c r="B170" t="s">
        <v>76</v>
      </c>
      <c r="C170" t="s">
        <v>422</v>
      </c>
      <c r="D170" t="s">
        <v>423</v>
      </c>
      <c r="E170" t="s">
        <v>411</v>
      </c>
      <c r="F170" t="b">
        <v>0</v>
      </c>
    </row>
    <row r="171" spans="1:6">
      <c r="A171" t="s">
        <v>235</v>
      </c>
      <c r="B171" t="s">
        <v>76</v>
      </c>
      <c r="C171" t="s">
        <v>424</v>
      </c>
      <c r="D171" t="s">
        <v>407</v>
      </c>
      <c r="E171" t="s">
        <v>425</v>
      </c>
      <c r="F171" t="b">
        <v>0</v>
      </c>
    </row>
    <row r="172" spans="1:6">
      <c r="A172" t="s">
        <v>235</v>
      </c>
      <c r="B172" t="s">
        <v>76</v>
      </c>
      <c r="C172" t="s">
        <v>426</v>
      </c>
      <c r="D172" t="s">
        <v>427</v>
      </c>
      <c r="E172" t="s">
        <v>339</v>
      </c>
      <c r="F172" t="b">
        <v>0</v>
      </c>
    </row>
    <row r="173" spans="1:6">
      <c r="A173" t="s">
        <v>235</v>
      </c>
      <c r="B173" t="s">
        <v>76</v>
      </c>
      <c r="C173" t="s">
        <v>428</v>
      </c>
      <c r="D173" t="s">
        <v>407</v>
      </c>
      <c r="F173" t="b">
        <v>1</v>
      </c>
    </row>
    <row r="174" spans="1:6">
      <c r="A174" t="s">
        <v>235</v>
      </c>
      <c r="B174" t="s">
        <v>76</v>
      </c>
      <c r="C174" t="s">
        <v>429</v>
      </c>
      <c r="D174" t="s">
        <v>423</v>
      </c>
      <c r="E174" t="s">
        <v>411</v>
      </c>
      <c r="F174" t="b">
        <v>0</v>
      </c>
    </row>
    <row r="175" spans="1:6">
      <c r="A175" t="s">
        <v>235</v>
      </c>
      <c r="B175" t="s">
        <v>76</v>
      </c>
      <c r="C175" t="s">
        <v>430</v>
      </c>
      <c r="D175" t="s">
        <v>431</v>
      </c>
      <c r="E175" t="s">
        <v>411</v>
      </c>
      <c r="F175" t="b">
        <v>0</v>
      </c>
    </row>
    <row r="176" spans="1:6">
      <c r="A176" t="s">
        <v>235</v>
      </c>
      <c r="B176" t="s">
        <v>76</v>
      </c>
      <c r="C176" t="s">
        <v>432</v>
      </c>
      <c r="D176" t="s">
        <v>407</v>
      </c>
      <c r="F176" t="b">
        <v>0</v>
      </c>
    </row>
    <row r="177" spans="1:6">
      <c r="A177" t="s">
        <v>236</v>
      </c>
      <c r="B177" t="s">
        <v>80</v>
      </c>
      <c r="C177" t="s">
        <v>433</v>
      </c>
      <c r="D177" t="s">
        <v>434</v>
      </c>
      <c r="F177" t="b">
        <v>0</v>
      </c>
    </row>
    <row r="178" spans="1:6">
      <c r="A178" t="s">
        <v>236</v>
      </c>
      <c r="B178" t="s">
        <v>61</v>
      </c>
      <c r="C178" t="s">
        <v>435</v>
      </c>
      <c r="D178" t="s">
        <v>436</v>
      </c>
      <c r="E178" t="s">
        <v>437</v>
      </c>
      <c r="F178" t="b">
        <v>0</v>
      </c>
    </row>
    <row r="179" spans="1:6">
      <c r="A179" t="s">
        <v>236</v>
      </c>
      <c r="B179" t="s">
        <v>61</v>
      </c>
      <c r="C179" t="s">
        <v>438</v>
      </c>
      <c r="D179" t="s">
        <v>436</v>
      </c>
      <c r="E179" t="s">
        <v>270</v>
      </c>
      <c r="F179" t="b">
        <v>1</v>
      </c>
    </row>
    <row r="180" spans="1:6">
      <c r="A180" t="s">
        <v>236</v>
      </c>
      <c r="B180" t="s">
        <v>61</v>
      </c>
      <c r="C180" t="s">
        <v>438</v>
      </c>
      <c r="D180" t="s">
        <v>436</v>
      </c>
      <c r="E180" t="s">
        <v>439</v>
      </c>
      <c r="F180" t="b">
        <v>0</v>
      </c>
    </row>
    <row r="181" spans="1:6">
      <c r="A181" t="s">
        <v>236</v>
      </c>
      <c r="B181" t="s">
        <v>61</v>
      </c>
      <c r="C181" t="s">
        <v>438</v>
      </c>
      <c r="D181" t="s">
        <v>436</v>
      </c>
      <c r="E181" t="s">
        <v>437</v>
      </c>
      <c r="F181" t="b">
        <v>0</v>
      </c>
    </row>
    <row r="182" spans="1:6">
      <c r="A182" t="s">
        <v>236</v>
      </c>
      <c r="B182" t="s">
        <v>73</v>
      </c>
      <c r="C182" t="s">
        <v>438</v>
      </c>
      <c r="D182" t="s">
        <v>436</v>
      </c>
      <c r="E182" t="s">
        <v>440</v>
      </c>
      <c r="F182" t="b">
        <v>0</v>
      </c>
    </row>
    <row r="183" spans="1:6">
      <c r="A183" t="s">
        <v>236</v>
      </c>
      <c r="B183" t="s">
        <v>73</v>
      </c>
      <c r="C183" t="s">
        <v>438</v>
      </c>
      <c r="D183" t="s">
        <v>436</v>
      </c>
      <c r="E183" t="s">
        <v>276</v>
      </c>
      <c r="F183" t="b">
        <v>1</v>
      </c>
    </row>
    <row r="184" spans="1:6">
      <c r="A184" t="s">
        <v>236</v>
      </c>
      <c r="B184" t="s">
        <v>73</v>
      </c>
      <c r="C184" t="s">
        <v>438</v>
      </c>
      <c r="D184" t="s">
        <v>436</v>
      </c>
      <c r="E184" t="s">
        <v>441</v>
      </c>
      <c r="F184" t="b">
        <v>0</v>
      </c>
    </row>
    <row r="185" spans="1:6">
      <c r="A185" t="s">
        <v>236</v>
      </c>
      <c r="B185" t="s">
        <v>278</v>
      </c>
      <c r="C185" t="s">
        <v>438</v>
      </c>
      <c r="D185" t="s">
        <v>436</v>
      </c>
      <c r="E185" t="s">
        <v>266</v>
      </c>
      <c r="F185" t="b">
        <v>1</v>
      </c>
    </row>
    <row r="186" spans="1:6">
      <c r="A186" t="s">
        <v>236</v>
      </c>
      <c r="B186" t="s">
        <v>278</v>
      </c>
      <c r="C186" t="s">
        <v>438</v>
      </c>
      <c r="D186" t="s">
        <v>436</v>
      </c>
      <c r="E186" t="s">
        <v>439</v>
      </c>
      <c r="F186" t="b">
        <v>0</v>
      </c>
    </row>
    <row r="187" spans="1:6">
      <c r="A187" t="s">
        <v>236</v>
      </c>
      <c r="B187" t="s">
        <v>278</v>
      </c>
      <c r="C187" t="s">
        <v>438</v>
      </c>
      <c r="D187" t="s">
        <v>436</v>
      </c>
      <c r="E187" t="s">
        <v>437</v>
      </c>
      <c r="F187" t="b">
        <v>0</v>
      </c>
    </row>
    <row r="188" spans="1:6">
      <c r="A188" t="s">
        <v>236</v>
      </c>
      <c r="B188" t="s">
        <v>278</v>
      </c>
      <c r="C188" t="s">
        <v>438</v>
      </c>
      <c r="D188" t="s">
        <v>436</v>
      </c>
      <c r="E188" t="s">
        <v>270</v>
      </c>
      <c r="F188" t="b">
        <v>1</v>
      </c>
    </row>
    <row r="189" spans="1:6">
      <c r="A189" t="s">
        <v>236</v>
      </c>
      <c r="B189" t="s">
        <v>278</v>
      </c>
      <c r="C189" t="s">
        <v>435</v>
      </c>
      <c r="D189" t="s">
        <v>436</v>
      </c>
      <c r="E189" t="s">
        <v>437</v>
      </c>
      <c r="F189" t="b">
        <v>0</v>
      </c>
    </row>
    <row r="190" spans="1:6">
      <c r="A190" t="s">
        <v>236</v>
      </c>
      <c r="B190" t="s">
        <v>296</v>
      </c>
      <c r="C190" t="s">
        <v>442</v>
      </c>
      <c r="D190" t="s">
        <v>436</v>
      </c>
      <c r="F190" t="b">
        <v>0</v>
      </c>
    </row>
    <row r="191" spans="1:6">
      <c r="A191" t="s">
        <v>236</v>
      </c>
      <c r="B191" t="s">
        <v>301</v>
      </c>
      <c r="C191" t="s">
        <v>443</v>
      </c>
      <c r="D191" t="s">
        <v>436</v>
      </c>
      <c r="F191" t="b">
        <v>0</v>
      </c>
    </row>
    <row r="192" spans="1:6">
      <c r="A192" t="s">
        <v>236</v>
      </c>
      <c r="B192" t="s">
        <v>301</v>
      </c>
      <c r="C192" t="s">
        <v>444</v>
      </c>
      <c r="D192" t="s">
        <v>436</v>
      </c>
      <c r="F192" t="b">
        <v>1</v>
      </c>
    </row>
    <row r="193" spans="1:6">
      <c r="A193" t="s">
        <v>236</v>
      </c>
      <c r="B193" t="s">
        <v>301</v>
      </c>
      <c r="C193" t="s">
        <v>445</v>
      </c>
      <c r="D193" t="s">
        <v>436</v>
      </c>
      <c r="F193" t="b">
        <v>0</v>
      </c>
    </row>
    <row r="194" spans="1:6">
      <c r="A194" t="s">
        <v>236</v>
      </c>
      <c r="B194" t="s">
        <v>76</v>
      </c>
      <c r="C194" t="s">
        <v>446</v>
      </c>
      <c r="D194" t="s">
        <v>436</v>
      </c>
      <c r="F194" t="b">
        <v>1</v>
      </c>
    </row>
    <row r="195" spans="1:6">
      <c r="A195" t="s">
        <v>236</v>
      </c>
      <c r="B195" t="s">
        <v>76</v>
      </c>
      <c r="C195" t="s">
        <v>447</v>
      </c>
      <c r="D195" t="s">
        <v>436</v>
      </c>
      <c r="F195" t="b">
        <v>0</v>
      </c>
    </row>
    <row r="196" spans="1:6">
      <c r="A196" t="s">
        <v>236</v>
      </c>
      <c r="B196" t="s">
        <v>76</v>
      </c>
      <c r="C196" t="s">
        <v>448</v>
      </c>
      <c r="D196" t="s">
        <v>436</v>
      </c>
      <c r="F196" t="b">
        <v>0</v>
      </c>
    </row>
    <row r="197" spans="1:6">
      <c r="A197" t="s">
        <v>237</v>
      </c>
      <c r="B197" t="s">
        <v>80</v>
      </c>
      <c r="C197" t="s">
        <v>449</v>
      </c>
      <c r="D197" t="s">
        <v>450</v>
      </c>
      <c r="F197" t="b">
        <v>0</v>
      </c>
    </row>
    <row r="198" spans="1:6">
      <c r="A198" t="s">
        <v>237</v>
      </c>
      <c r="B198" t="s">
        <v>80</v>
      </c>
      <c r="C198" t="s">
        <v>451</v>
      </c>
      <c r="D198" t="s">
        <v>450</v>
      </c>
      <c r="F198" t="b">
        <v>0</v>
      </c>
    </row>
    <row r="199" spans="1:6">
      <c r="A199" t="s">
        <v>237</v>
      </c>
      <c r="B199" t="s">
        <v>80</v>
      </c>
      <c r="C199" t="s">
        <v>452</v>
      </c>
      <c r="D199" t="s">
        <v>450</v>
      </c>
      <c r="F199" t="b">
        <v>0</v>
      </c>
    </row>
    <row r="200" spans="1:6">
      <c r="A200" t="s">
        <v>237</v>
      </c>
      <c r="B200" t="s">
        <v>80</v>
      </c>
      <c r="C200" t="s">
        <v>453</v>
      </c>
      <c r="D200" t="s">
        <v>450</v>
      </c>
      <c r="F200" t="b">
        <v>0</v>
      </c>
    </row>
    <row r="201" spans="1:6">
      <c r="A201" t="s">
        <v>237</v>
      </c>
      <c r="B201" t="s">
        <v>80</v>
      </c>
      <c r="C201" t="s">
        <v>449</v>
      </c>
      <c r="D201" t="s">
        <v>450</v>
      </c>
      <c r="F201" t="b">
        <v>0</v>
      </c>
    </row>
    <row r="202" spans="1:6">
      <c r="A202" t="s">
        <v>237</v>
      </c>
      <c r="B202" t="s">
        <v>80</v>
      </c>
      <c r="C202" t="s">
        <v>454</v>
      </c>
      <c r="D202" t="s">
        <v>450</v>
      </c>
      <c r="F202" t="b">
        <v>0</v>
      </c>
    </row>
    <row r="203" spans="1:6">
      <c r="A203" t="s">
        <v>237</v>
      </c>
      <c r="B203" t="s">
        <v>61</v>
      </c>
      <c r="C203" t="s">
        <v>455</v>
      </c>
      <c r="D203" t="s">
        <v>456</v>
      </c>
      <c r="E203" t="s">
        <v>261</v>
      </c>
      <c r="F203" t="b">
        <v>0</v>
      </c>
    </row>
    <row r="204" spans="1:6">
      <c r="A204" t="s">
        <v>237</v>
      </c>
      <c r="B204" t="s">
        <v>61</v>
      </c>
      <c r="C204" t="s">
        <v>457</v>
      </c>
      <c r="D204" t="s">
        <v>456</v>
      </c>
      <c r="E204" t="s">
        <v>458</v>
      </c>
      <c r="F204" t="b">
        <v>0</v>
      </c>
    </row>
    <row r="205" spans="1:6">
      <c r="A205" t="s">
        <v>237</v>
      </c>
      <c r="B205" t="s">
        <v>61</v>
      </c>
      <c r="C205" t="s">
        <v>459</v>
      </c>
      <c r="D205" t="s">
        <v>456</v>
      </c>
      <c r="E205" t="s">
        <v>261</v>
      </c>
      <c r="F205" t="b">
        <v>0</v>
      </c>
    </row>
    <row r="206" spans="1:6">
      <c r="A206" t="s">
        <v>237</v>
      </c>
      <c r="B206" t="s">
        <v>61</v>
      </c>
      <c r="C206" t="s">
        <v>460</v>
      </c>
      <c r="D206" t="s">
        <v>456</v>
      </c>
      <c r="E206" t="s">
        <v>458</v>
      </c>
      <c r="F206" t="b">
        <v>0</v>
      </c>
    </row>
    <row r="207" spans="1:6">
      <c r="A207" t="s">
        <v>237</v>
      </c>
      <c r="B207" t="s">
        <v>61</v>
      </c>
      <c r="C207" t="s">
        <v>461</v>
      </c>
      <c r="D207" t="s">
        <v>456</v>
      </c>
      <c r="E207" t="s">
        <v>462</v>
      </c>
      <c r="F207" t="b">
        <v>0</v>
      </c>
    </row>
    <row r="208" spans="1:6">
      <c r="A208" t="s">
        <v>237</v>
      </c>
      <c r="B208" t="s">
        <v>61</v>
      </c>
      <c r="C208" t="s">
        <v>463</v>
      </c>
      <c r="D208" t="s">
        <v>456</v>
      </c>
      <c r="E208" t="s">
        <v>261</v>
      </c>
      <c r="F208" t="b">
        <v>0</v>
      </c>
    </row>
    <row r="209" spans="1:6">
      <c r="A209" t="s">
        <v>237</v>
      </c>
      <c r="B209" t="s">
        <v>61</v>
      </c>
      <c r="C209" t="s">
        <v>464</v>
      </c>
      <c r="D209" t="s">
        <v>456</v>
      </c>
      <c r="E209" t="s">
        <v>458</v>
      </c>
      <c r="F209" t="b">
        <v>0</v>
      </c>
    </row>
    <row r="210" spans="1:6">
      <c r="A210" t="s">
        <v>237</v>
      </c>
      <c r="B210" t="s">
        <v>61</v>
      </c>
      <c r="C210" t="s">
        <v>465</v>
      </c>
      <c r="D210" t="s">
        <v>456</v>
      </c>
      <c r="E210" t="s">
        <v>458</v>
      </c>
      <c r="F210" t="b">
        <v>0</v>
      </c>
    </row>
    <row r="211" spans="1:6">
      <c r="A211" t="s">
        <v>237</v>
      </c>
      <c r="B211" t="s">
        <v>61</v>
      </c>
      <c r="C211" t="s">
        <v>466</v>
      </c>
      <c r="D211" t="s">
        <v>456</v>
      </c>
      <c r="E211" t="s">
        <v>259</v>
      </c>
      <c r="F211" t="b">
        <v>0</v>
      </c>
    </row>
    <row r="212" spans="1:6">
      <c r="A212" t="s">
        <v>237</v>
      </c>
      <c r="B212" t="s">
        <v>61</v>
      </c>
      <c r="C212" t="s">
        <v>467</v>
      </c>
      <c r="D212" t="s">
        <v>456</v>
      </c>
      <c r="E212" t="s">
        <v>458</v>
      </c>
      <c r="F212" t="b">
        <v>0</v>
      </c>
    </row>
    <row r="213" spans="1:6">
      <c r="A213" t="s">
        <v>237</v>
      </c>
      <c r="B213" t="s">
        <v>61</v>
      </c>
      <c r="C213" t="s">
        <v>468</v>
      </c>
      <c r="D213" t="s">
        <v>456</v>
      </c>
      <c r="E213" t="s">
        <v>462</v>
      </c>
      <c r="F213" t="b">
        <v>0</v>
      </c>
    </row>
    <row r="214" spans="1:6">
      <c r="A214" t="s">
        <v>237</v>
      </c>
      <c r="B214" t="s">
        <v>61</v>
      </c>
      <c r="C214" t="s">
        <v>469</v>
      </c>
      <c r="D214" t="s">
        <v>456</v>
      </c>
      <c r="E214" t="s">
        <v>470</v>
      </c>
      <c r="F214" t="b">
        <v>0</v>
      </c>
    </row>
    <row r="215" spans="1:6">
      <c r="A215" t="s">
        <v>237</v>
      </c>
      <c r="B215" t="s">
        <v>61</v>
      </c>
      <c r="C215" t="s">
        <v>471</v>
      </c>
      <c r="D215" t="s">
        <v>456</v>
      </c>
      <c r="E215" t="s">
        <v>259</v>
      </c>
      <c r="F215" t="b">
        <v>0</v>
      </c>
    </row>
    <row r="216" spans="1:6">
      <c r="A216" t="s">
        <v>237</v>
      </c>
      <c r="B216" t="s">
        <v>61</v>
      </c>
      <c r="C216" t="s">
        <v>472</v>
      </c>
      <c r="D216" t="s">
        <v>456</v>
      </c>
      <c r="E216" t="s">
        <v>458</v>
      </c>
      <c r="F216" t="b">
        <v>0</v>
      </c>
    </row>
    <row r="217" spans="1:6">
      <c r="A217" t="s">
        <v>237</v>
      </c>
      <c r="B217" t="s">
        <v>61</v>
      </c>
      <c r="C217" t="s">
        <v>473</v>
      </c>
      <c r="D217" t="s">
        <v>456</v>
      </c>
      <c r="E217" t="s">
        <v>259</v>
      </c>
      <c r="F217" t="b">
        <v>0</v>
      </c>
    </row>
    <row r="218" spans="1:6">
      <c r="A218" t="s">
        <v>237</v>
      </c>
      <c r="B218" t="s">
        <v>61</v>
      </c>
      <c r="C218" t="s">
        <v>474</v>
      </c>
      <c r="D218" t="s">
        <v>456</v>
      </c>
      <c r="E218" t="s">
        <v>470</v>
      </c>
      <c r="F218" t="b">
        <v>0</v>
      </c>
    </row>
    <row r="219" spans="1:6">
      <c r="A219" t="s">
        <v>237</v>
      </c>
      <c r="B219" t="s">
        <v>61</v>
      </c>
      <c r="C219" t="s">
        <v>475</v>
      </c>
      <c r="D219" t="s">
        <v>456</v>
      </c>
      <c r="E219" t="s">
        <v>285</v>
      </c>
      <c r="F219" t="b">
        <v>0</v>
      </c>
    </row>
    <row r="220" spans="1:6">
      <c r="A220" t="s">
        <v>237</v>
      </c>
      <c r="B220" t="s">
        <v>61</v>
      </c>
      <c r="C220" t="s">
        <v>476</v>
      </c>
      <c r="D220" t="s">
        <v>456</v>
      </c>
      <c r="E220" t="s">
        <v>462</v>
      </c>
      <c r="F220" t="b">
        <v>0</v>
      </c>
    </row>
    <row r="221" spans="1:6">
      <c r="A221" t="s">
        <v>237</v>
      </c>
      <c r="B221" t="s">
        <v>61</v>
      </c>
      <c r="C221" t="s">
        <v>477</v>
      </c>
      <c r="D221" t="s">
        <v>456</v>
      </c>
      <c r="E221" t="s">
        <v>458</v>
      </c>
      <c r="F221" t="b">
        <v>0</v>
      </c>
    </row>
    <row r="222" spans="1:6">
      <c r="A222" t="s">
        <v>237</v>
      </c>
      <c r="B222" t="s">
        <v>61</v>
      </c>
      <c r="C222" t="s">
        <v>477</v>
      </c>
      <c r="D222" t="s">
        <v>456</v>
      </c>
      <c r="E222" t="s">
        <v>285</v>
      </c>
      <c r="F222" t="b">
        <v>0</v>
      </c>
    </row>
    <row r="223" spans="1:6">
      <c r="A223" t="s">
        <v>237</v>
      </c>
      <c r="B223" t="s">
        <v>61</v>
      </c>
      <c r="C223" t="s">
        <v>478</v>
      </c>
      <c r="D223" t="s">
        <v>456</v>
      </c>
      <c r="E223" t="s">
        <v>458</v>
      </c>
      <c r="F223" t="b">
        <v>0</v>
      </c>
    </row>
    <row r="224" spans="1:6">
      <c r="A224" t="s">
        <v>237</v>
      </c>
      <c r="B224" t="s">
        <v>73</v>
      </c>
      <c r="C224" t="s">
        <v>477</v>
      </c>
      <c r="D224" t="s">
        <v>456</v>
      </c>
      <c r="E224" t="s">
        <v>479</v>
      </c>
      <c r="F224" t="b">
        <v>0</v>
      </c>
    </row>
    <row r="225" spans="1:6">
      <c r="A225" t="s">
        <v>237</v>
      </c>
      <c r="B225" t="s">
        <v>73</v>
      </c>
      <c r="C225" t="s">
        <v>480</v>
      </c>
      <c r="D225" t="s">
        <v>456</v>
      </c>
      <c r="E225" t="s">
        <v>479</v>
      </c>
      <c r="F225" t="b">
        <v>0</v>
      </c>
    </row>
    <row r="226" spans="1:6">
      <c r="A226" t="s">
        <v>237</v>
      </c>
      <c r="B226" t="s">
        <v>73</v>
      </c>
      <c r="C226" t="s">
        <v>481</v>
      </c>
      <c r="D226" t="s">
        <v>456</v>
      </c>
      <c r="E226" t="s">
        <v>273</v>
      </c>
      <c r="F226" t="b">
        <v>0</v>
      </c>
    </row>
    <row r="227" spans="1:6">
      <c r="A227" t="s">
        <v>237</v>
      </c>
      <c r="B227" t="s">
        <v>73</v>
      </c>
      <c r="C227" t="s">
        <v>482</v>
      </c>
      <c r="D227" t="s">
        <v>456</v>
      </c>
      <c r="E227" t="s">
        <v>483</v>
      </c>
      <c r="F227" t="b">
        <v>0</v>
      </c>
    </row>
    <row r="228" spans="1:6">
      <c r="A228" t="s">
        <v>237</v>
      </c>
      <c r="B228" t="s">
        <v>73</v>
      </c>
      <c r="C228" t="s">
        <v>472</v>
      </c>
      <c r="D228" t="s">
        <v>456</v>
      </c>
      <c r="E228" t="s">
        <v>484</v>
      </c>
      <c r="F228" t="b">
        <v>0</v>
      </c>
    </row>
    <row r="229" spans="1:6">
      <c r="A229" t="s">
        <v>237</v>
      </c>
      <c r="B229" t="s">
        <v>73</v>
      </c>
      <c r="C229" t="s">
        <v>485</v>
      </c>
      <c r="D229" t="s">
        <v>456</v>
      </c>
      <c r="E229" t="s">
        <v>273</v>
      </c>
      <c r="F229" t="b">
        <v>0</v>
      </c>
    </row>
    <row r="230" spans="1:6">
      <c r="A230" t="s">
        <v>237</v>
      </c>
      <c r="B230" t="s">
        <v>73</v>
      </c>
      <c r="C230" t="s">
        <v>477</v>
      </c>
      <c r="D230" t="s">
        <v>456</v>
      </c>
      <c r="E230" t="s">
        <v>484</v>
      </c>
      <c r="F230" t="b">
        <v>0</v>
      </c>
    </row>
    <row r="231" spans="1:6">
      <c r="A231" t="s">
        <v>237</v>
      </c>
      <c r="B231" t="s">
        <v>73</v>
      </c>
      <c r="C231" t="s">
        <v>486</v>
      </c>
      <c r="D231" t="s">
        <v>456</v>
      </c>
      <c r="E231" t="s">
        <v>487</v>
      </c>
      <c r="F231" t="b">
        <v>0</v>
      </c>
    </row>
    <row r="232" spans="1:6">
      <c r="A232" t="s">
        <v>237</v>
      </c>
      <c r="B232" t="s">
        <v>73</v>
      </c>
      <c r="C232" t="s">
        <v>472</v>
      </c>
      <c r="D232" t="s">
        <v>456</v>
      </c>
      <c r="E232" t="s">
        <v>479</v>
      </c>
      <c r="F232" t="b">
        <v>0</v>
      </c>
    </row>
    <row r="233" spans="1:6">
      <c r="A233" t="s">
        <v>237</v>
      </c>
      <c r="B233" t="s">
        <v>73</v>
      </c>
      <c r="C233" t="s">
        <v>488</v>
      </c>
      <c r="D233" t="s">
        <v>456</v>
      </c>
      <c r="E233" t="s">
        <v>489</v>
      </c>
      <c r="F233" t="b">
        <v>0</v>
      </c>
    </row>
    <row r="234" spans="1:6">
      <c r="A234" t="s">
        <v>237</v>
      </c>
      <c r="B234" t="s">
        <v>73</v>
      </c>
      <c r="C234" t="s">
        <v>477</v>
      </c>
      <c r="D234" t="s">
        <v>456</v>
      </c>
      <c r="E234" t="s">
        <v>490</v>
      </c>
      <c r="F234" t="b">
        <v>0</v>
      </c>
    </row>
    <row r="235" spans="1:6">
      <c r="A235" t="s">
        <v>237</v>
      </c>
      <c r="B235" t="s">
        <v>73</v>
      </c>
      <c r="C235" t="s">
        <v>491</v>
      </c>
      <c r="D235" t="s">
        <v>456</v>
      </c>
      <c r="E235" t="s">
        <v>483</v>
      </c>
      <c r="F235" t="b">
        <v>0</v>
      </c>
    </row>
    <row r="236" spans="1:6">
      <c r="A236" t="s">
        <v>237</v>
      </c>
      <c r="B236" t="s">
        <v>73</v>
      </c>
      <c r="C236" t="s">
        <v>475</v>
      </c>
      <c r="D236" t="s">
        <v>456</v>
      </c>
      <c r="E236" t="s">
        <v>490</v>
      </c>
      <c r="F236" t="b">
        <v>0</v>
      </c>
    </row>
    <row r="237" spans="1:6">
      <c r="A237" t="s">
        <v>237</v>
      </c>
      <c r="B237" t="s">
        <v>73</v>
      </c>
      <c r="C237" t="s">
        <v>492</v>
      </c>
      <c r="D237" t="s">
        <v>456</v>
      </c>
      <c r="E237" t="s">
        <v>273</v>
      </c>
      <c r="F237" t="b">
        <v>0</v>
      </c>
    </row>
    <row r="238" spans="1:6">
      <c r="A238" t="s">
        <v>237</v>
      </c>
      <c r="B238" t="s">
        <v>73</v>
      </c>
      <c r="C238" t="s">
        <v>493</v>
      </c>
      <c r="D238" t="s">
        <v>456</v>
      </c>
      <c r="E238" t="s">
        <v>483</v>
      </c>
      <c r="F238" t="b">
        <v>0</v>
      </c>
    </row>
    <row r="239" spans="1:6">
      <c r="A239" t="s">
        <v>237</v>
      </c>
      <c r="B239" t="s">
        <v>73</v>
      </c>
      <c r="C239" t="s">
        <v>488</v>
      </c>
      <c r="D239" t="s">
        <v>456</v>
      </c>
      <c r="E239" t="s">
        <v>484</v>
      </c>
      <c r="F239" t="b">
        <v>0</v>
      </c>
    </row>
    <row r="240" spans="1:6">
      <c r="A240" t="s">
        <v>237</v>
      </c>
      <c r="B240" t="s">
        <v>73</v>
      </c>
      <c r="C240" t="s">
        <v>480</v>
      </c>
      <c r="D240" t="s">
        <v>456</v>
      </c>
      <c r="E240" t="s">
        <v>484</v>
      </c>
      <c r="F240" t="b">
        <v>0</v>
      </c>
    </row>
    <row r="241" spans="1:6">
      <c r="A241" t="s">
        <v>237</v>
      </c>
      <c r="B241" t="s">
        <v>73</v>
      </c>
      <c r="C241" t="s">
        <v>494</v>
      </c>
      <c r="D241" t="s">
        <v>456</v>
      </c>
      <c r="E241" t="s">
        <v>273</v>
      </c>
      <c r="F241" t="b">
        <v>0</v>
      </c>
    </row>
    <row r="242" spans="1:6">
      <c r="A242" t="s">
        <v>237</v>
      </c>
      <c r="B242" t="s">
        <v>278</v>
      </c>
      <c r="C242" t="s">
        <v>471</v>
      </c>
      <c r="D242" t="s">
        <v>456</v>
      </c>
      <c r="E242" t="s">
        <v>259</v>
      </c>
      <c r="F242" t="b">
        <v>0</v>
      </c>
    </row>
    <row r="243" spans="1:6">
      <c r="A243" t="s">
        <v>237</v>
      </c>
      <c r="B243" t="s">
        <v>278</v>
      </c>
      <c r="C243" t="s">
        <v>460</v>
      </c>
      <c r="D243" t="s">
        <v>456</v>
      </c>
      <c r="E243" t="s">
        <v>458</v>
      </c>
      <c r="F243" t="b">
        <v>0</v>
      </c>
    </row>
    <row r="244" spans="1:6">
      <c r="A244" t="s">
        <v>237</v>
      </c>
      <c r="B244" t="s">
        <v>278</v>
      </c>
      <c r="C244" t="s">
        <v>459</v>
      </c>
      <c r="D244" t="s">
        <v>456</v>
      </c>
      <c r="E244" t="s">
        <v>261</v>
      </c>
      <c r="F244" t="b">
        <v>0</v>
      </c>
    </row>
    <row r="245" spans="1:6">
      <c r="A245" t="s">
        <v>237</v>
      </c>
      <c r="B245" t="s">
        <v>278</v>
      </c>
      <c r="C245" t="s">
        <v>488</v>
      </c>
      <c r="D245" t="s">
        <v>456</v>
      </c>
      <c r="E245" t="s">
        <v>261</v>
      </c>
      <c r="F245" t="b">
        <v>0</v>
      </c>
    </row>
    <row r="246" spans="1:6">
      <c r="A246" t="s">
        <v>237</v>
      </c>
      <c r="B246" t="s">
        <v>278</v>
      </c>
      <c r="C246" t="s">
        <v>478</v>
      </c>
      <c r="D246" t="s">
        <v>456</v>
      </c>
      <c r="E246" t="s">
        <v>458</v>
      </c>
      <c r="F246" t="b">
        <v>0</v>
      </c>
    </row>
    <row r="247" spans="1:6">
      <c r="A247" t="s">
        <v>237</v>
      </c>
      <c r="B247" t="s">
        <v>278</v>
      </c>
      <c r="C247" t="s">
        <v>464</v>
      </c>
      <c r="D247" t="s">
        <v>456</v>
      </c>
      <c r="E247" t="s">
        <v>458</v>
      </c>
      <c r="F247" t="b">
        <v>0</v>
      </c>
    </row>
    <row r="248" spans="1:6">
      <c r="A248" t="s">
        <v>237</v>
      </c>
      <c r="B248" t="s">
        <v>278</v>
      </c>
      <c r="C248" t="s">
        <v>477</v>
      </c>
      <c r="D248" t="s">
        <v>456</v>
      </c>
      <c r="E248" t="s">
        <v>285</v>
      </c>
      <c r="F248" t="b">
        <v>0</v>
      </c>
    </row>
    <row r="249" spans="1:6">
      <c r="A249" t="s">
        <v>237</v>
      </c>
      <c r="B249" t="s">
        <v>278</v>
      </c>
      <c r="C249" t="s">
        <v>467</v>
      </c>
      <c r="D249" t="s">
        <v>456</v>
      </c>
      <c r="E249" t="s">
        <v>458</v>
      </c>
      <c r="F249" t="b">
        <v>0</v>
      </c>
    </row>
    <row r="250" spans="1:6">
      <c r="A250" t="s">
        <v>237</v>
      </c>
      <c r="B250" t="s">
        <v>278</v>
      </c>
      <c r="C250" t="s">
        <v>473</v>
      </c>
      <c r="D250" t="s">
        <v>456</v>
      </c>
      <c r="E250" t="s">
        <v>259</v>
      </c>
      <c r="F250" t="b">
        <v>0</v>
      </c>
    </row>
    <row r="251" spans="1:6">
      <c r="A251" t="s">
        <v>237</v>
      </c>
      <c r="B251" t="s">
        <v>278</v>
      </c>
      <c r="C251" t="s">
        <v>469</v>
      </c>
      <c r="D251" t="s">
        <v>456</v>
      </c>
      <c r="E251" t="s">
        <v>470</v>
      </c>
      <c r="F251" t="b">
        <v>0</v>
      </c>
    </row>
    <row r="252" spans="1:6">
      <c r="A252" t="s">
        <v>237</v>
      </c>
      <c r="B252" t="s">
        <v>278</v>
      </c>
      <c r="C252" t="s">
        <v>457</v>
      </c>
      <c r="D252" t="s">
        <v>456</v>
      </c>
      <c r="E252" t="s">
        <v>458</v>
      </c>
      <c r="F252" t="b">
        <v>0</v>
      </c>
    </row>
    <row r="253" spans="1:6">
      <c r="A253" t="s">
        <v>237</v>
      </c>
      <c r="B253" t="s">
        <v>278</v>
      </c>
      <c r="C253" t="s">
        <v>495</v>
      </c>
      <c r="D253" t="s">
        <v>456</v>
      </c>
      <c r="F253" t="b">
        <v>0</v>
      </c>
    </row>
    <row r="254" spans="1:6">
      <c r="A254" t="s">
        <v>237</v>
      </c>
      <c r="B254" t="s">
        <v>278</v>
      </c>
      <c r="C254" t="s">
        <v>463</v>
      </c>
      <c r="D254" t="s">
        <v>456</v>
      </c>
      <c r="E254" t="s">
        <v>261</v>
      </c>
      <c r="F254" t="b">
        <v>0</v>
      </c>
    </row>
    <row r="255" spans="1:6">
      <c r="A255" t="s">
        <v>237</v>
      </c>
      <c r="B255" t="s">
        <v>278</v>
      </c>
      <c r="C255" t="s">
        <v>477</v>
      </c>
      <c r="D255" t="s">
        <v>456</v>
      </c>
      <c r="E255" t="s">
        <v>458</v>
      </c>
      <c r="F255" t="b">
        <v>0</v>
      </c>
    </row>
    <row r="256" spans="1:6">
      <c r="A256" t="s">
        <v>237</v>
      </c>
      <c r="B256" t="s">
        <v>278</v>
      </c>
      <c r="C256" t="s">
        <v>475</v>
      </c>
      <c r="D256" t="s">
        <v>456</v>
      </c>
      <c r="E256" t="s">
        <v>285</v>
      </c>
      <c r="F256" t="b">
        <v>0</v>
      </c>
    </row>
    <row r="257" spans="1:6">
      <c r="A257" t="s">
        <v>237</v>
      </c>
      <c r="B257" t="s">
        <v>278</v>
      </c>
      <c r="C257" t="s">
        <v>465</v>
      </c>
      <c r="D257" t="s">
        <v>456</v>
      </c>
      <c r="E257" t="s">
        <v>458</v>
      </c>
      <c r="F257" t="b">
        <v>0</v>
      </c>
    </row>
    <row r="258" spans="1:6">
      <c r="A258" t="s">
        <v>237</v>
      </c>
      <c r="B258" t="s">
        <v>278</v>
      </c>
      <c r="C258" t="s">
        <v>474</v>
      </c>
      <c r="D258" t="s">
        <v>456</v>
      </c>
      <c r="E258" t="s">
        <v>470</v>
      </c>
      <c r="F258" t="b">
        <v>0</v>
      </c>
    </row>
    <row r="259" spans="1:6">
      <c r="A259" t="s">
        <v>237</v>
      </c>
      <c r="B259" t="s">
        <v>278</v>
      </c>
      <c r="C259" t="s">
        <v>472</v>
      </c>
      <c r="D259" t="s">
        <v>456</v>
      </c>
      <c r="E259" t="s">
        <v>458</v>
      </c>
      <c r="F259" t="b">
        <v>0</v>
      </c>
    </row>
    <row r="260" spans="1:6">
      <c r="A260" t="s">
        <v>237</v>
      </c>
      <c r="B260" t="s">
        <v>278</v>
      </c>
      <c r="C260" t="s">
        <v>455</v>
      </c>
      <c r="D260" t="s">
        <v>456</v>
      </c>
      <c r="E260" t="s">
        <v>261</v>
      </c>
      <c r="F260" t="b">
        <v>0</v>
      </c>
    </row>
    <row r="261" spans="1:6">
      <c r="A261" t="s">
        <v>237</v>
      </c>
      <c r="B261" t="s">
        <v>278</v>
      </c>
      <c r="C261" t="s">
        <v>466</v>
      </c>
      <c r="D261" t="s">
        <v>456</v>
      </c>
      <c r="E261" t="s">
        <v>259</v>
      </c>
      <c r="F261" t="b">
        <v>0</v>
      </c>
    </row>
    <row r="262" spans="1:6">
      <c r="A262" t="s">
        <v>237</v>
      </c>
      <c r="B262" t="s">
        <v>296</v>
      </c>
      <c r="C262" t="s">
        <v>496</v>
      </c>
      <c r="D262" t="s">
        <v>456</v>
      </c>
      <c r="F262" t="b">
        <v>0</v>
      </c>
    </row>
    <row r="263" spans="1:6">
      <c r="A263" t="s">
        <v>237</v>
      </c>
      <c r="B263" t="s">
        <v>296</v>
      </c>
      <c r="C263" t="s">
        <v>497</v>
      </c>
      <c r="D263" t="s">
        <v>456</v>
      </c>
      <c r="F263" t="b">
        <v>0</v>
      </c>
    </row>
    <row r="264" spans="1:6">
      <c r="A264" t="s">
        <v>237</v>
      </c>
      <c r="B264" t="s">
        <v>296</v>
      </c>
      <c r="C264" t="s">
        <v>498</v>
      </c>
      <c r="D264" t="s">
        <v>456</v>
      </c>
      <c r="F264" t="b">
        <v>0</v>
      </c>
    </row>
    <row r="265" spans="1:6">
      <c r="A265" t="s">
        <v>237</v>
      </c>
      <c r="B265" t="s">
        <v>296</v>
      </c>
      <c r="C265" t="s">
        <v>499</v>
      </c>
      <c r="D265" t="s">
        <v>456</v>
      </c>
      <c r="F265" t="b">
        <v>0</v>
      </c>
    </row>
    <row r="266" spans="1:6">
      <c r="A266" t="s">
        <v>237</v>
      </c>
      <c r="B266" t="s">
        <v>296</v>
      </c>
      <c r="C266" t="s">
        <v>500</v>
      </c>
      <c r="D266" t="s">
        <v>456</v>
      </c>
      <c r="F266" t="b">
        <v>0</v>
      </c>
    </row>
    <row r="267" spans="1:6">
      <c r="A267" t="s">
        <v>237</v>
      </c>
      <c r="B267" t="s">
        <v>296</v>
      </c>
      <c r="C267" t="s">
        <v>501</v>
      </c>
      <c r="D267" t="s">
        <v>456</v>
      </c>
      <c r="F267" t="b">
        <v>0</v>
      </c>
    </row>
    <row r="268" spans="1:6">
      <c r="A268" t="s">
        <v>237</v>
      </c>
      <c r="B268" t="s">
        <v>301</v>
      </c>
      <c r="C268" t="s">
        <v>502</v>
      </c>
      <c r="D268" t="s">
        <v>456</v>
      </c>
      <c r="F268" t="b">
        <v>0</v>
      </c>
    </row>
    <row r="269" spans="1:6">
      <c r="A269" t="s">
        <v>237</v>
      </c>
      <c r="B269" t="s">
        <v>301</v>
      </c>
      <c r="C269" t="s">
        <v>503</v>
      </c>
      <c r="D269" t="s">
        <v>456</v>
      </c>
      <c r="F269" t="b">
        <v>0</v>
      </c>
    </row>
    <row r="270" spans="1:6">
      <c r="A270" t="s">
        <v>237</v>
      </c>
      <c r="B270" t="s">
        <v>301</v>
      </c>
      <c r="C270" t="s">
        <v>504</v>
      </c>
      <c r="D270" t="s">
        <v>456</v>
      </c>
      <c r="F270" t="b">
        <v>0</v>
      </c>
    </row>
    <row r="271" spans="1:6">
      <c r="A271" t="s">
        <v>237</v>
      </c>
      <c r="B271" t="s">
        <v>301</v>
      </c>
      <c r="C271" t="s">
        <v>505</v>
      </c>
      <c r="D271" t="s">
        <v>456</v>
      </c>
      <c r="F271" t="b">
        <v>0</v>
      </c>
    </row>
    <row r="272" spans="1:6">
      <c r="A272" t="s">
        <v>237</v>
      </c>
      <c r="B272" t="s">
        <v>301</v>
      </c>
      <c r="C272" t="s">
        <v>506</v>
      </c>
      <c r="D272" t="s">
        <v>456</v>
      </c>
      <c r="F272" t="b">
        <v>0</v>
      </c>
    </row>
    <row r="273" spans="1:6">
      <c r="A273" t="s">
        <v>237</v>
      </c>
      <c r="B273" t="s">
        <v>301</v>
      </c>
      <c r="C273" t="s">
        <v>507</v>
      </c>
      <c r="D273" t="s">
        <v>456</v>
      </c>
      <c r="F273" t="b">
        <v>0</v>
      </c>
    </row>
    <row r="274" spans="1:6">
      <c r="A274" t="s">
        <v>237</v>
      </c>
      <c r="B274" t="s">
        <v>301</v>
      </c>
      <c r="C274" t="s">
        <v>508</v>
      </c>
      <c r="D274" t="s">
        <v>456</v>
      </c>
      <c r="F274" t="b">
        <v>0</v>
      </c>
    </row>
    <row r="275" spans="1:6">
      <c r="A275" t="s">
        <v>237</v>
      </c>
      <c r="B275" t="s">
        <v>301</v>
      </c>
      <c r="C275" t="s">
        <v>509</v>
      </c>
      <c r="D275" t="s">
        <v>456</v>
      </c>
      <c r="F275" t="b">
        <v>0</v>
      </c>
    </row>
    <row r="276" spans="1:6">
      <c r="A276" t="s">
        <v>237</v>
      </c>
      <c r="B276" t="s">
        <v>301</v>
      </c>
      <c r="C276" t="s">
        <v>510</v>
      </c>
      <c r="D276" t="s">
        <v>456</v>
      </c>
      <c r="F276" t="b">
        <v>0</v>
      </c>
    </row>
    <row r="277" spans="1:6">
      <c r="A277" t="s">
        <v>237</v>
      </c>
      <c r="B277" t="s">
        <v>301</v>
      </c>
      <c r="C277" t="s">
        <v>511</v>
      </c>
      <c r="D277" t="s">
        <v>456</v>
      </c>
      <c r="F277" t="b">
        <v>0</v>
      </c>
    </row>
    <row r="278" spans="1:6">
      <c r="A278" t="s">
        <v>237</v>
      </c>
      <c r="B278" t="s">
        <v>301</v>
      </c>
      <c r="C278" t="s">
        <v>512</v>
      </c>
      <c r="D278" t="s">
        <v>456</v>
      </c>
      <c r="F278" t="b">
        <v>0</v>
      </c>
    </row>
    <row r="279" spans="1:6">
      <c r="A279" t="s">
        <v>237</v>
      </c>
      <c r="B279" t="s">
        <v>76</v>
      </c>
      <c r="C279" t="s">
        <v>513</v>
      </c>
      <c r="D279" t="s">
        <v>456</v>
      </c>
      <c r="E279" t="s">
        <v>514</v>
      </c>
      <c r="F279" t="b">
        <v>0</v>
      </c>
    </row>
    <row r="280" spans="1:6">
      <c r="A280" t="s">
        <v>237</v>
      </c>
      <c r="B280" t="s">
        <v>76</v>
      </c>
      <c r="C280" t="s">
        <v>515</v>
      </c>
      <c r="D280" t="s">
        <v>456</v>
      </c>
      <c r="F280" t="b">
        <v>0</v>
      </c>
    </row>
    <row r="281" spans="1:6">
      <c r="A281" t="s">
        <v>237</v>
      </c>
      <c r="B281" t="s">
        <v>76</v>
      </c>
      <c r="C281" t="s">
        <v>516</v>
      </c>
      <c r="D281" t="s">
        <v>456</v>
      </c>
      <c r="E281" t="s">
        <v>295</v>
      </c>
      <c r="F281" t="b">
        <v>0</v>
      </c>
    </row>
    <row r="282" spans="1:6">
      <c r="A282" t="s">
        <v>237</v>
      </c>
      <c r="B282" t="s">
        <v>76</v>
      </c>
      <c r="C282" t="s">
        <v>517</v>
      </c>
      <c r="D282" t="s">
        <v>456</v>
      </c>
      <c r="E282" t="s">
        <v>313</v>
      </c>
      <c r="F282" t="b">
        <v>0</v>
      </c>
    </row>
    <row r="283" spans="1:6">
      <c r="A283" t="s">
        <v>237</v>
      </c>
      <c r="B283" t="s">
        <v>76</v>
      </c>
      <c r="C283" t="s">
        <v>517</v>
      </c>
      <c r="D283" t="s">
        <v>456</v>
      </c>
      <c r="E283" t="s">
        <v>318</v>
      </c>
      <c r="F283" t="b">
        <v>0</v>
      </c>
    </row>
    <row r="284" spans="1:6">
      <c r="A284" t="s">
        <v>237</v>
      </c>
      <c r="B284" t="s">
        <v>76</v>
      </c>
      <c r="C284" t="s">
        <v>518</v>
      </c>
      <c r="D284" t="s">
        <v>456</v>
      </c>
      <c r="F284" t="b">
        <v>0</v>
      </c>
    </row>
    <row r="285" spans="1:6">
      <c r="A285" t="s">
        <v>237</v>
      </c>
      <c r="B285" t="s">
        <v>76</v>
      </c>
      <c r="C285" t="s">
        <v>519</v>
      </c>
      <c r="D285" t="s">
        <v>456</v>
      </c>
      <c r="E285" t="s">
        <v>520</v>
      </c>
      <c r="F285" t="b">
        <v>0</v>
      </c>
    </row>
    <row r="286" spans="1:6">
      <c r="A286" t="s">
        <v>237</v>
      </c>
      <c r="B286" t="s">
        <v>76</v>
      </c>
      <c r="C286" t="s">
        <v>521</v>
      </c>
      <c r="D286" t="s">
        <v>456</v>
      </c>
      <c r="E286" t="s">
        <v>522</v>
      </c>
      <c r="F286" t="b">
        <v>0</v>
      </c>
    </row>
    <row r="287" spans="1:6">
      <c r="A287" t="s">
        <v>237</v>
      </c>
      <c r="B287" t="s">
        <v>76</v>
      </c>
      <c r="C287" t="s">
        <v>523</v>
      </c>
      <c r="D287" t="s">
        <v>456</v>
      </c>
      <c r="E287" t="s">
        <v>524</v>
      </c>
      <c r="F287" t="b">
        <v>0</v>
      </c>
    </row>
    <row r="288" spans="1:6">
      <c r="A288" t="s">
        <v>237</v>
      </c>
      <c r="B288" t="s">
        <v>76</v>
      </c>
      <c r="C288" t="s">
        <v>523</v>
      </c>
      <c r="D288" t="s">
        <v>456</v>
      </c>
      <c r="E288" t="s">
        <v>520</v>
      </c>
      <c r="F288" t="b">
        <v>0</v>
      </c>
    </row>
    <row r="289" spans="1:6">
      <c r="A289" t="s">
        <v>237</v>
      </c>
      <c r="B289" t="s">
        <v>76</v>
      </c>
      <c r="C289" t="s">
        <v>525</v>
      </c>
      <c r="D289" t="s">
        <v>456</v>
      </c>
      <c r="F289" t="b">
        <v>0</v>
      </c>
    </row>
    <row r="290" spans="1:6">
      <c r="A290" t="s">
        <v>237</v>
      </c>
      <c r="B290" t="s">
        <v>76</v>
      </c>
      <c r="C290" t="s">
        <v>526</v>
      </c>
      <c r="D290" t="s">
        <v>456</v>
      </c>
      <c r="E290" t="s">
        <v>295</v>
      </c>
      <c r="F290" t="b">
        <v>0</v>
      </c>
    </row>
    <row r="291" spans="1:6">
      <c r="A291" t="s">
        <v>237</v>
      </c>
      <c r="B291" t="s">
        <v>76</v>
      </c>
      <c r="C291" t="s">
        <v>516</v>
      </c>
      <c r="D291" t="s">
        <v>456</v>
      </c>
      <c r="E291" t="s">
        <v>313</v>
      </c>
      <c r="F291" t="b">
        <v>0</v>
      </c>
    </row>
    <row r="292" spans="1:6">
      <c r="A292" t="s">
        <v>237</v>
      </c>
      <c r="B292" t="s">
        <v>76</v>
      </c>
      <c r="C292" t="s">
        <v>527</v>
      </c>
      <c r="D292" t="s">
        <v>456</v>
      </c>
      <c r="E292" t="s">
        <v>514</v>
      </c>
      <c r="F292" t="b">
        <v>0</v>
      </c>
    </row>
    <row r="293" spans="1:6">
      <c r="A293" t="s">
        <v>237</v>
      </c>
      <c r="B293" t="s">
        <v>76</v>
      </c>
      <c r="C293" t="s">
        <v>528</v>
      </c>
      <c r="D293" t="s">
        <v>456</v>
      </c>
      <c r="E293" t="s">
        <v>259</v>
      </c>
      <c r="F293" t="b">
        <v>0</v>
      </c>
    </row>
    <row r="294" spans="1:6">
      <c r="A294" t="s">
        <v>237</v>
      </c>
      <c r="B294" t="s">
        <v>76</v>
      </c>
      <c r="C294" t="s">
        <v>529</v>
      </c>
      <c r="D294" t="s">
        <v>456</v>
      </c>
      <c r="E294" t="s">
        <v>524</v>
      </c>
      <c r="F294" t="b">
        <v>0</v>
      </c>
    </row>
    <row r="295" spans="1:6">
      <c r="A295" t="s">
        <v>237</v>
      </c>
      <c r="B295" t="s">
        <v>76</v>
      </c>
      <c r="C295" t="s">
        <v>519</v>
      </c>
      <c r="D295" t="s">
        <v>456</v>
      </c>
      <c r="E295" t="s">
        <v>489</v>
      </c>
      <c r="F295" t="b">
        <v>0</v>
      </c>
    </row>
    <row r="296" spans="1:6">
      <c r="A296" t="s">
        <v>237</v>
      </c>
      <c r="B296" t="s">
        <v>76</v>
      </c>
      <c r="C296" t="s">
        <v>530</v>
      </c>
      <c r="D296" t="s">
        <v>456</v>
      </c>
      <c r="E296" t="s">
        <v>522</v>
      </c>
      <c r="F296" t="b">
        <v>0</v>
      </c>
    </row>
    <row r="297" spans="1:6">
      <c r="A297" t="s">
        <v>237</v>
      </c>
      <c r="B297" t="s">
        <v>76</v>
      </c>
      <c r="C297" t="s">
        <v>531</v>
      </c>
      <c r="D297" t="s">
        <v>456</v>
      </c>
      <c r="E297" t="s">
        <v>295</v>
      </c>
      <c r="F297" t="b">
        <v>0</v>
      </c>
    </row>
    <row r="298" spans="1:6">
      <c r="A298" t="s">
        <v>237</v>
      </c>
      <c r="B298" t="s">
        <v>76</v>
      </c>
      <c r="C298" t="s">
        <v>532</v>
      </c>
      <c r="D298" t="s">
        <v>456</v>
      </c>
      <c r="E298" t="s">
        <v>533</v>
      </c>
      <c r="F298" t="b">
        <v>0</v>
      </c>
    </row>
    <row r="299" spans="1:6">
      <c r="A299" t="s">
        <v>237</v>
      </c>
      <c r="B299" t="s">
        <v>76</v>
      </c>
      <c r="C299" t="s">
        <v>534</v>
      </c>
      <c r="D299" t="s">
        <v>456</v>
      </c>
      <c r="E299" t="s">
        <v>295</v>
      </c>
      <c r="F299" t="b">
        <v>0</v>
      </c>
    </row>
    <row r="300" spans="1:6">
      <c r="A300" t="s">
        <v>237</v>
      </c>
      <c r="B300" t="s">
        <v>76</v>
      </c>
      <c r="C300" t="s">
        <v>535</v>
      </c>
      <c r="D300" t="s">
        <v>456</v>
      </c>
      <c r="F300" t="b">
        <v>0</v>
      </c>
    </row>
    <row r="301" spans="1:6">
      <c r="A301" t="s">
        <v>237</v>
      </c>
      <c r="B301" t="s">
        <v>76</v>
      </c>
      <c r="C301" t="s">
        <v>519</v>
      </c>
      <c r="D301" t="s">
        <v>456</v>
      </c>
      <c r="E301" t="s">
        <v>524</v>
      </c>
      <c r="F301" t="b">
        <v>0</v>
      </c>
    </row>
    <row r="302" spans="1:6">
      <c r="A302" t="s">
        <v>237</v>
      </c>
      <c r="B302" t="s">
        <v>76</v>
      </c>
      <c r="C302" t="s">
        <v>536</v>
      </c>
      <c r="D302" t="s">
        <v>456</v>
      </c>
      <c r="E302" t="s">
        <v>259</v>
      </c>
      <c r="F302" t="b">
        <v>0</v>
      </c>
    </row>
    <row r="303" spans="1:6">
      <c r="A303" t="s">
        <v>237</v>
      </c>
      <c r="B303" t="s">
        <v>76</v>
      </c>
      <c r="C303" t="s">
        <v>537</v>
      </c>
      <c r="D303" t="s">
        <v>456</v>
      </c>
      <c r="F303" t="b">
        <v>0</v>
      </c>
    </row>
    <row r="304" spans="1:6">
      <c r="A304" t="s">
        <v>237</v>
      </c>
      <c r="B304" t="s">
        <v>76</v>
      </c>
      <c r="C304" t="s">
        <v>538</v>
      </c>
      <c r="D304" t="s">
        <v>456</v>
      </c>
      <c r="E304" t="s">
        <v>295</v>
      </c>
      <c r="F304" t="b">
        <v>0</v>
      </c>
    </row>
    <row r="305" spans="1:6">
      <c r="A305" t="s">
        <v>237</v>
      </c>
      <c r="B305" t="s">
        <v>76</v>
      </c>
      <c r="C305" t="s">
        <v>523</v>
      </c>
      <c r="D305" t="s">
        <v>456</v>
      </c>
      <c r="E305" t="s">
        <v>489</v>
      </c>
      <c r="F305" t="b">
        <v>0</v>
      </c>
    </row>
    <row r="306" spans="1:6">
      <c r="A306" t="s">
        <v>237</v>
      </c>
      <c r="B306" t="s">
        <v>76</v>
      </c>
      <c r="C306" t="s">
        <v>532</v>
      </c>
      <c r="D306" t="s">
        <v>456</v>
      </c>
      <c r="E306" t="s">
        <v>524</v>
      </c>
      <c r="F306" t="b">
        <v>0</v>
      </c>
    </row>
    <row r="307" spans="1:6">
      <c r="A307" t="s">
        <v>237</v>
      </c>
      <c r="B307" t="s">
        <v>76</v>
      </c>
      <c r="C307" t="s">
        <v>539</v>
      </c>
      <c r="D307" t="s">
        <v>456</v>
      </c>
      <c r="F307" t="b">
        <v>0</v>
      </c>
    </row>
    <row r="308" spans="1:6">
      <c r="A308" t="s">
        <v>237</v>
      </c>
      <c r="B308" t="s">
        <v>76</v>
      </c>
      <c r="C308" t="s">
        <v>529</v>
      </c>
      <c r="D308" t="s">
        <v>456</v>
      </c>
      <c r="E308" t="s">
        <v>522</v>
      </c>
      <c r="F308" t="b">
        <v>0</v>
      </c>
    </row>
    <row r="309" spans="1:6">
      <c r="A309" t="s">
        <v>237</v>
      </c>
      <c r="B309" t="s">
        <v>76</v>
      </c>
      <c r="C309" t="s">
        <v>516</v>
      </c>
      <c r="D309" t="s">
        <v>456</v>
      </c>
      <c r="E309" t="s">
        <v>318</v>
      </c>
      <c r="F309" t="b">
        <v>0</v>
      </c>
    </row>
    <row r="310" spans="1:6">
      <c r="A310" t="s">
        <v>237</v>
      </c>
      <c r="B310" t="s">
        <v>76</v>
      </c>
      <c r="C310" t="s">
        <v>540</v>
      </c>
      <c r="D310" t="s">
        <v>456</v>
      </c>
      <c r="F310" t="b">
        <v>0</v>
      </c>
    </row>
    <row r="311" spans="1:6">
      <c r="A311" t="s">
        <v>237</v>
      </c>
      <c r="B311" t="s">
        <v>76</v>
      </c>
      <c r="C311" t="s">
        <v>541</v>
      </c>
      <c r="D311" t="s">
        <v>456</v>
      </c>
      <c r="F311" t="b">
        <v>0</v>
      </c>
    </row>
    <row r="312" spans="1:6">
      <c r="A312" t="s">
        <v>237</v>
      </c>
      <c r="B312" t="s">
        <v>76</v>
      </c>
      <c r="C312" t="s">
        <v>542</v>
      </c>
      <c r="D312" t="s">
        <v>456</v>
      </c>
      <c r="E312" t="s">
        <v>295</v>
      </c>
      <c r="F312" t="b">
        <v>0</v>
      </c>
    </row>
    <row r="313" spans="1:6">
      <c r="A313" t="s">
        <v>237</v>
      </c>
      <c r="B313" t="s">
        <v>76</v>
      </c>
      <c r="C313" t="s">
        <v>532</v>
      </c>
      <c r="D313" t="s">
        <v>456</v>
      </c>
      <c r="E313" t="s">
        <v>489</v>
      </c>
      <c r="F313" t="b">
        <v>0</v>
      </c>
    </row>
    <row r="314" spans="1:6">
      <c r="A314" t="s">
        <v>237</v>
      </c>
      <c r="B314" t="s">
        <v>76</v>
      </c>
      <c r="C314" t="s">
        <v>543</v>
      </c>
      <c r="D314" t="s">
        <v>456</v>
      </c>
      <c r="E314" t="s">
        <v>313</v>
      </c>
      <c r="F314" t="b">
        <v>0</v>
      </c>
    </row>
    <row r="315" spans="1:6">
      <c r="A315" t="s">
        <v>237</v>
      </c>
      <c r="B315" t="s">
        <v>76</v>
      </c>
      <c r="C315" t="s">
        <v>544</v>
      </c>
      <c r="D315" t="s">
        <v>456</v>
      </c>
      <c r="F315" t="b">
        <v>0</v>
      </c>
    </row>
    <row r="316" spans="1:6">
      <c r="A316" t="s">
        <v>237</v>
      </c>
      <c r="B316" t="s">
        <v>76</v>
      </c>
      <c r="C316" t="s">
        <v>545</v>
      </c>
      <c r="D316" t="s">
        <v>456</v>
      </c>
      <c r="F316" t="b">
        <v>0</v>
      </c>
    </row>
    <row r="317" spans="1:6">
      <c r="A317" t="s">
        <v>237</v>
      </c>
      <c r="B317" t="s">
        <v>76</v>
      </c>
      <c r="C317" t="s">
        <v>546</v>
      </c>
      <c r="D317" t="s">
        <v>456</v>
      </c>
      <c r="E317" t="s">
        <v>489</v>
      </c>
      <c r="F317" t="b">
        <v>0</v>
      </c>
    </row>
    <row r="318" spans="1:6">
      <c r="A318" t="s">
        <v>237</v>
      </c>
      <c r="B318" t="s">
        <v>76</v>
      </c>
      <c r="C318" t="s">
        <v>547</v>
      </c>
      <c r="D318" t="s">
        <v>456</v>
      </c>
      <c r="E318" t="s">
        <v>313</v>
      </c>
      <c r="F318" t="b">
        <v>0</v>
      </c>
    </row>
    <row r="319" spans="1:6">
      <c r="A319" t="s">
        <v>237</v>
      </c>
      <c r="B319" t="s">
        <v>76</v>
      </c>
      <c r="C319" t="s">
        <v>547</v>
      </c>
      <c r="D319" t="s">
        <v>456</v>
      </c>
      <c r="E319" t="s">
        <v>318</v>
      </c>
      <c r="F319" t="b">
        <v>0</v>
      </c>
    </row>
    <row r="320" spans="1:6">
      <c r="A320" t="s">
        <v>237</v>
      </c>
      <c r="B320" t="s">
        <v>76</v>
      </c>
      <c r="C320" t="s">
        <v>548</v>
      </c>
      <c r="D320" t="s">
        <v>456</v>
      </c>
      <c r="E320" t="s">
        <v>295</v>
      </c>
      <c r="F320" t="b">
        <v>0</v>
      </c>
    </row>
    <row r="321" spans="1:6">
      <c r="A321" t="s">
        <v>237</v>
      </c>
      <c r="B321" t="s">
        <v>76</v>
      </c>
      <c r="C321" t="s">
        <v>549</v>
      </c>
      <c r="D321" t="s">
        <v>456</v>
      </c>
      <c r="F321" t="b">
        <v>0</v>
      </c>
    </row>
    <row r="322" spans="1:6">
      <c r="A322" t="s">
        <v>238</v>
      </c>
      <c r="B322" t="s">
        <v>80</v>
      </c>
      <c r="C322" t="s">
        <v>452</v>
      </c>
      <c r="D322" t="s">
        <v>550</v>
      </c>
      <c r="F322" t="b">
        <v>0</v>
      </c>
    </row>
    <row r="323" spans="1:6">
      <c r="A323" t="s">
        <v>238</v>
      </c>
      <c r="B323" t="s">
        <v>80</v>
      </c>
      <c r="C323" t="s">
        <v>551</v>
      </c>
      <c r="D323" t="s">
        <v>550</v>
      </c>
      <c r="F323" t="b">
        <v>0</v>
      </c>
    </row>
    <row r="324" spans="1:6">
      <c r="A324" t="s">
        <v>238</v>
      </c>
      <c r="B324" t="s">
        <v>80</v>
      </c>
      <c r="C324" t="s">
        <v>552</v>
      </c>
      <c r="D324" t="s">
        <v>550</v>
      </c>
      <c r="F324" t="b">
        <v>0</v>
      </c>
    </row>
    <row r="325" spans="1:6">
      <c r="A325" t="s">
        <v>238</v>
      </c>
      <c r="B325" t="s">
        <v>80</v>
      </c>
      <c r="C325" t="s">
        <v>451</v>
      </c>
      <c r="D325" t="s">
        <v>550</v>
      </c>
      <c r="F325" t="b">
        <v>0</v>
      </c>
    </row>
    <row r="326" spans="1:6">
      <c r="A326" t="s">
        <v>238</v>
      </c>
      <c r="B326" t="s">
        <v>80</v>
      </c>
      <c r="C326" t="s">
        <v>552</v>
      </c>
      <c r="D326" t="s">
        <v>550</v>
      </c>
      <c r="F326" t="b">
        <v>0</v>
      </c>
    </row>
    <row r="327" spans="1:6">
      <c r="A327" t="s">
        <v>238</v>
      </c>
      <c r="B327" t="s">
        <v>80</v>
      </c>
      <c r="C327" t="s">
        <v>553</v>
      </c>
      <c r="D327" t="s">
        <v>550</v>
      </c>
      <c r="F327" t="b">
        <v>0</v>
      </c>
    </row>
    <row r="328" spans="1:6">
      <c r="A328" t="s">
        <v>238</v>
      </c>
      <c r="B328" t="s">
        <v>80</v>
      </c>
      <c r="C328" t="s">
        <v>452</v>
      </c>
      <c r="D328" t="s">
        <v>550</v>
      </c>
      <c r="F328" t="b">
        <v>0</v>
      </c>
    </row>
    <row r="329" spans="1:6">
      <c r="A329" t="s">
        <v>238</v>
      </c>
      <c r="B329" t="s">
        <v>80</v>
      </c>
      <c r="C329" t="s">
        <v>453</v>
      </c>
      <c r="D329" t="s">
        <v>550</v>
      </c>
      <c r="F329" t="b">
        <v>0</v>
      </c>
    </row>
    <row r="330" spans="1:6">
      <c r="A330" t="s">
        <v>238</v>
      </c>
      <c r="B330" t="s">
        <v>80</v>
      </c>
      <c r="C330" t="s">
        <v>453</v>
      </c>
      <c r="D330" t="s">
        <v>550</v>
      </c>
      <c r="F330" t="b">
        <v>0</v>
      </c>
    </row>
    <row r="331" spans="1:6">
      <c r="A331" t="s">
        <v>238</v>
      </c>
      <c r="B331" t="s">
        <v>61</v>
      </c>
      <c r="C331" t="s">
        <v>554</v>
      </c>
      <c r="D331" t="s">
        <v>555</v>
      </c>
      <c r="E331" t="s">
        <v>266</v>
      </c>
      <c r="F331" t="b">
        <v>1</v>
      </c>
    </row>
    <row r="332" spans="1:6">
      <c r="A332" t="s">
        <v>238</v>
      </c>
      <c r="B332" t="s">
        <v>61</v>
      </c>
      <c r="C332" t="s">
        <v>556</v>
      </c>
      <c r="D332" t="s">
        <v>555</v>
      </c>
      <c r="E332" t="s">
        <v>266</v>
      </c>
      <c r="F332" t="b">
        <v>1</v>
      </c>
    </row>
    <row r="333" spans="1:6">
      <c r="A333" t="s">
        <v>238</v>
      </c>
      <c r="B333" t="s">
        <v>61</v>
      </c>
      <c r="C333" t="s">
        <v>457</v>
      </c>
      <c r="D333" t="s">
        <v>555</v>
      </c>
      <c r="E333" t="s">
        <v>458</v>
      </c>
      <c r="F333" t="b">
        <v>0</v>
      </c>
    </row>
    <row r="334" spans="1:6">
      <c r="A334" t="s">
        <v>238</v>
      </c>
      <c r="B334" t="s">
        <v>61</v>
      </c>
      <c r="C334" t="s">
        <v>472</v>
      </c>
      <c r="D334" t="s">
        <v>555</v>
      </c>
      <c r="E334" t="s">
        <v>261</v>
      </c>
      <c r="F334" t="b">
        <v>0</v>
      </c>
    </row>
    <row r="335" spans="1:6">
      <c r="A335" t="s">
        <v>238</v>
      </c>
      <c r="B335" t="s">
        <v>61</v>
      </c>
      <c r="C335" t="s">
        <v>467</v>
      </c>
      <c r="D335" t="s">
        <v>555</v>
      </c>
      <c r="E335" t="s">
        <v>458</v>
      </c>
      <c r="F335" t="b">
        <v>0</v>
      </c>
    </row>
    <row r="336" spans="1:6">
      <c r="A336" t="s">
        <v>238</v>
      </c>
      <c r="B336" t="s">
        <v>61</v>
      </c>
      <c r="C336" t="s">
        <v>557</v>
      </c>
      <c r="D336" t="s">
        <v>555</v>
      </c>
      <c r="E336" t="s">
        <v>458</v>
      </c>
      <c r="F336" t="b">
        <v>0</v>
      </c>
    </row>
    <row r="337" spans="1:6">
      <c r="A337" t="s">
        <v>238</v>
      </c>
      <c r="B337" t="s">
        <v>61</v>
      </c>
      <c r="C337" t="s">
        <v>558</v>
      </c>
      <c r="D337" t="s">
        <v>555</v>
      </c>
      <c r="E337" t="s">
        <v>470</v>
      </c>
      <c r="F337" t="b">
        <v>0</v>
      </c>
    </row>
    <row r="338" spans="1:6">
      <c r="A338" t="s">
        <v>238</v>
      </c>
      <c r="B338" t="s">
        <v>61</v>
      </c>
      <c r="C338" t="s">
        <v>559</v>
      </c>
      <c r="D338" t="s">
        <v>555</v>
      </c>
      <c r="E338" t="s">
        <v>266</v>
      </c>
      <c r="F338" t="b">
        <v>1</v>
      </c>
    </row>
    <row r="339" spans="1:6">
      <c r="A339" t="s">
        <v>238</v>
      </c>
      <c r="B339" t="s">
        <v>61</v>
      </c>
      <c r="C339" t="s">
        <v>478</v>
      </c>
      <c r="D339" t="s">
        <v>555</v>
      </c>
      <c r="E339" t="s">
        <v>458</v>
      </c>
      <c r="F339" t="b">
        <v>0</v>
      </c>
    </row>
    <row r="340" spans="1:6">
      <c r="A340" t="s">
        <v>238</v>
      </c>
      <c r="B340" t="s">
        <v>61</v>
      </c>
      <c r="C340" t="s">
        <v>560</v>
      </c>
      <c r="D340" t="s">
        <v>555</v>
      </c>
      <c r="E340" t="s">
        <v>261</v>
      </c>
      <c r="F340" t="b">
        <v>0</v>
      </c>
    </row>
    <row r="341" spans="1:6">
      <c r="A341" t="s">
        <v>238</v>
      </c>
      <c r="B341" t="s">
        <v>61</v>
      </c>
      <c r="C341" t="s">
        <v>472</v>
      </c>
      <c r="D341" t="s">
        <v>555</v>
      </c>
      <c r="E341" t="s">
        <v>458</v>
      </c>
      <c r="F341" t="b">
        <v>0</v>
      </c>
    </row>
    <row r="342" spans="1:6">
      <c r="A342" t="s">
        <v>238</v>
      </c>
      <c r="B342" t="s">
        <v>61</v>
      </c>
      <c r="C342" t="s">
        <v>465</v>
      </c>
      <c r="D342" t="s">
        <v>555</v>
      </c>
      <c r="E342" t="s">
        <v>458</v>
      </c>
      <c r="F342" t="b">
        <v>0</v>
      </c>
    </row>
    <row r="343" spans="1:6">
      <c r="A343" t="s">
        <v>238</v>
      </c>
      <c r="B343" t="s">
        <v>61</v>
      </c>
      <c r="C343" t="s">
        <v>561</v>
      </c>
      <c r="D343" t="s">
        <v>555</v>
      </c>
      <c r="E343" t="s">
        <v>266</v>
      </c>
      <c r="F343" t="b">
        <v>1</v>
      </c>
    </row>
    <row r="344" spans="1:6">
      <c r="A344" t="s">
        <v>238</v>
      </c>
      <c r="B344" t="s">
        <v>61</v>
      </c>
      <c r="C344" t="s">
        <v>562</v>
      </c>
      <c r="D344" t="s">
        <v>555</v>
      </c>
      <c r="E344" t="s">
        <v>266</v>
      </c>
      <c r="F344" t="b">
        <v>1</v>
      </c>
    </row>
    <row r="345" spans="1:6">
      <c r="A345" t="s">
        <v>238</v>
      </c>
      <c r="B345" t="s">
        <v>61</v>
      </c>
      <c r="C345" t="s">
        <v>477</v>
      </c>
      <c r="D345" t="s">
        <v>555</v>
      </c>
      <c r="E345" t="s">
        <v>458</v>
      </c>
      <c r="F345" t="b">
        <v>0</v>
      </c>
    </row>
    <row r="346" spans="1:6">
      <c r="A346" t="s">
        <v>238</v>
      </c>
      <c r="B346" t="s">
        <v>61</v>
      </c>
      <c r="C346" t="s">
        <v>477</v>
      </c>
      <c r="D346" t="s">
        <v>555</v>
      </c>
      <c r="E346" t="s">
        <v>261</v>
      </c>
      <c r="F346" t="b">
        <v>0</v>
      </c>
    </row>
    <row r="347" spans="1:6">
      <c r="A347" t="s">
        <v>238</v>
      </c>
      <c r="B347" t="s">
        <v>61</v>
      </c>
      <c r="C347" t="s">
        <v>464</v>
      </c>
      <c r="D347" t="s">
        <v>555</v>
      </c>
      <c r="E347" t="s">
        <v>458</v>
      </c>
      <c r="F347" t="b">
        <v>0</v>
      </c>
    </row>
    <row r="348" spans="1:6">
      <c r="A348" t="s">
        <v>238</v>
      </c>
      <c r="B348" t="s">
        <v>61</v>
      </c>
      <c r="C348" t="s">
        <v>460</v>
      </c>
      <c r="D348" t="s">
        <v>555</v>
      </c>
      <c r="E348" t="s">
        <v>458</v>
      </c>
      <c r="F348" t="b">
        <v>0</v>
      </c>
    </row>
    <row r="349" spans="1:6">
      <c r="A349" t="s">
        <v>238</v>
      </c>
      <c r="B349" t="s">
        <v>73</v>
      </c>
      <c r="C349" t="s">
        <v>485</v>
      </c>
      <c r="D349" t="s">
        <v>555</v>
      </c>
      <c r="E349" t="s">
        <v>273</v>
      </c>
      <c r="F349" t="b">
        <v>0</v>
      </c>
    </row>
    <row r="350" spans="1:6">
      <c r="A350" t="s">
        <v>238</v>
      </c>
      <c r="B350" t="s">
        <v>73</v>
      </c>
      <c r="C350" t="s">
        <v>469</v>
      </c>
      <c r="D350" t="s">
        <v>555</v>
      </c>
      <c r="E350" t="s">
        <v>490</v>
      </c>
      <c r="F350" t="b">
        <v>0</v>
      </c>
    </row>
    <row r="351" spans="1:6">
      <c r="A351" t="s">
        <v>238</v>
      </c>
      <c r="B351" t="s">
        <v>73</v>
      </c>
      <c r="C351" t="s">
        <v>488</v>
      </c>
      <c r="D351" t="s">
        <v>555</v>
      </c>
      <c r="E351" t="s">
        <v>484</v>
      </c>
      <c r="F351" t="b">
        <v>0</v>
      </c>
    </row>
    <row r="352" spans="1:6">
      <c r="A352" t="s">
        <v>238</v>
      </c>
      <c r="B352" t="s">
        <v>73</v>
      </c>
      <c r="C352" t="s">
        <v>563</v>
      </c>
      <c r="D352" t="s">
        <v>555</v>
      </c>
      <c r="E352" t="s">
        <v>490</v>
      </c>
      <c r="F352" t="b">
        <v>0</v>
      </c>
    </row>
    <row r="353" spans="1:6">
      <c r="A353" t="s">
        <v>238</v>
      </c>
      <c r="B353" t="s">
        <v>73</v>
      </c>
      <c r="C353" t="s">
        <v>564</v>
      </c>
      <c r="D353" t="s">
        <v>555</v>
      </c>
      <c r="E353" t="s">
        <v>565</v>
      </c>
      <c r="F353" t="b">
        <v>0</v>
      </c>
    </row>
    <row r="354" spans="1:6">
      <c r="A354" t="s">
        <v>238</v>
      </c>
      <c r="B354" t="s">
        <v>73</v>
      </c>
      <c r="C354" t="s">
        <v>477</v>
      </c>
      <c r="D354" t="s">
        <v>555</v>
      </c>
      <c r="E354" t="s">
        <v>484</v>
      </c>
      <c r="F354" t="b">
        <v>0</v>
      </c>
    </row>
    <row r="355" spans="1:6">
      <c r="A355" t="s">
        <v>238</v>
      </c>
      <c r="B355" t="s">
        <v>73</v>
      </c>
      <c r="C355" t="s">
        <v>566</v>
      </c>
      <c r="D355" t="s">
        <v>555</v>
      </c>
      <c r="E355" t="s">
        <v>276</v>
      </c>
      <c r="F355" t="b">
        <v>1</v>
      </c>
    </row>
    <row r="356" spans="1:6">
      <c r="A356" t="s">
        <v>238</v>
      </c>
      <c r="B356" t="s">
        <v>73</v>
      </c>
      <c r="C356" t="s">
        <v>488</v>
      </c>
      <c r="D356" t="s">
        <v>555</v>
      </c>
      <c r="E356" t="s">
        <v>489</v>
      </c>
      <c r="F356" t="b">
        <v>0</v>
      </c>
    </row>
    <row r="357" spans="1:6">
      <c r="A357" t="s">
        <v>238</v>
      </c>
      <c r="B357" t="s">
        <v>73</v>
      </c>
      <c r="C357" t="s">
        <v>472</v>
      </c>
      <c r="D357" t="s">
        <v>555</v>
      </c>
      <c r="E357" t="s">
        <v>484</v>
      </c>
      <c r="F357" t="b">
        <v>0</v>
      </c>
    </row>
    <row r="358" spans="1:6">
      <c r="A358" t="s">
        <v>238</v>
      </c>
      <c r="B358" t="s">
        <v>73</v>
      </c>
      <c r="C358" t="s">
        <v>567</v>
      </c>
      <c r="D358" t="s">
        <v>555</v>
      </c>
      <c r="E358" t="s">
        <v>276</v>
      </c>
      <c r="F358" t="b">
        <v>1</v>
      </c>
    </row>
    <row r="359" spans="1:6">
      <c r="A359" t="s">
        <v>238</v>
      </c>
      <c r="B359" t="s">
        <v>73</v>
      </c>
      <c r="C359" t="s">
        <v>568</v>
      </c>
      <c r="D359" t="s">
        <v>555</v>
      </c>
      <c r="E359" t="s">
        <v>569</v>
      </c>
      <c r="F359" t="b">
        <v>0</v>
      </c>
    </row>
    <row r="360" spans="1:6">
      <c r="A360" t="s">
        <v>238</v>
      </c>
      <c r="B360" t="s">
        <v>73</v>
      </c>
      <c r="C360" t="s">
        <v>570</v>
      </c>
      <c r="D360" t="s">
        <v>555</v>
      </c>
      <c r="E360" t="s">
        <v>565</v>
      </c>
      <c r="F360" t="b">
        <v>0</v>
      </c>
    </row>
    <row r="361" spans="1:6">
      <c r="A361" t="s">
        <v>238</v>
      </c>
      <c r="B361" t="s">
        <v>73</v>
      </c>
      <c r="C361" t="s">
        <v>571</v>
      </c>
      <c r="D361" t="s">
        <v>555</v>
      </c>
      <c r="E361" t="s">
        <v>565</v>
      </c>
      <c r="F361" t="b">
        <v>0</v>
      </c>
    </row>
    <row r="362" spans="1:6">
      <c r="A362" t="s">
        <v>238</v>
      </c>
      <c r="B362" t="s">
        <v>73</v>
      </c>
      <c r="C362" t="s">
        <v>572</v>
      </c>
      <c r="D362" t="s">
        <v>555</v>
      </c>
      <c r="E362" t="s">
        <v>276</v>
      </c>
      <c r="F362" t="b">
        <v>1</v>
      </c>
    </row>
    <row r="363" spans="1:6">
      <c r="A363" t="s">
        <v>238</v>
      </c>
      <c r="B363" t="s">
        <v>73</v>
      </c>
      <c r="C363" t="s">
        <v>481</v>
      </c>
      <c r="D363" t="s">
        <v>555</v>
      </c>
      <c r="E363" t="s">
        <v>273</v>
      </c>
      <c r="F363" t="b">
        <v>0</v>
      </c>
    </row>
    <row r="364" spans="1:6">
      <c r="A364" t="s">
        <v>238</v>
      </c>
      <c r="B364" t="s">
        <v>73</v>
      </c>
      <c r="C364" t="s">
        <v>472</v>
      </c>
      <c r="D364" t="s">
        <v>555</v>
      </c>
      <c r="E364" t="s">
        <v>489</v>
      </c>
      <c r="F364" t="b">
        <v>0</v>
      </c>
    </row>
    <row r="365" spans="1:6">
      <c r="A365" t="s">
        <v>238</v>
      </c>
      <c r="B365" t="s">
        <v>73</v>
      </c>
      <c r="C365" t="s">
        <v>573</v>
      </c>
      <c r="D365" t="s">
        <v>555</v>
      </c>
      <c r="E365" t="s">
        <v>565</v>
      </c>
      <c r="F365" t="b">
        <v>0</v>
      </c>
    </row>
    <row r="366" spans="1:6">
      <c r="A366" t="s">
        <v>238</v>
      </c>
      <c r="B366" t="s">
        <v>73</v>
      </c>
      <c r="C366" t="s">
        <v>492</v>
      </c>
      <c r="D366" t="s">
        <v>555</v>
      </c>
      <c r="E366" t="s">
        <v>273</v>
      </c>
      <c r="F366" t="b">
        <v>0</v>
      </c>
    </row>
    <row r="367" spans="1:6">
      <c r="A367" t="s">
        <v>238</v>
      </c>
      <c r="B367" t="s">
        <v>73</v>
      </c>
      <c r="C367" t="s">
        <v>494</v>
      </c>
      <c r="D367" t="s">
        <v>555</v>
      </c>
      <c r="E367" t="s">
        <v>273</v>
      </c>
      <c r="F367" t="b">
        <v>0</v>
      </c>
    </row>
    <row r="368" spans="1:6">
      <c r="A368" t="s">
        <v>238</v>
      </c>
      <c r="B368" t="s">
        <v>73</v>
      </c>
      <c r="C368" t="s">
        <v>480</v>
      </c>
      <c r="D368" t="s">
        <v>555</v>
      </c>
      <c r="E368" t="s">
        <v>484</v>
      </c>
      <c r="F368" t="b">
        <v>0</v>
      </c>
    </row>
    <row r="369" spans="1:6">
      <c r="A369" t="s">
        <v>238</v>
      </c>
      <c r="B369" t="s">
        <v>278</v>
      </c>
      <c r="C369" t="s">
        <v>467</v>
      </c>
      <c r="D369" t="s">
        <v>555</v>
      </c>
      <c r="E369" t="s">
        <v>458</v>
      </c>
      <c r="F369" t="b">
        <v>0</v>
      </c>
    </row>
    <row r="370" spans="1:6">
      <c r="A370" t="s">
        <v>238</v>
      </c>
      <c r="B370" t="s">
        <v>278</v>
      </c>
      <c r="C370" t="s">
        <v>478</v>
      </c>
      <c r="D370" t="s">
        <v>555</v>
      </c>
      <c r="E370" t="s">
        <v>458</v>
      </c>
      <c r="F370" t="b">
        <v>0</v>
      </c>
    </row>
    <row r="371" spans="1:6">
      <c r="A371" t="s">
        <v>238</v>
      </c>
      <c r="B371" t="s">
        <v>278</v>
      </c>
      <c r="C371" t="s">
        <v>562</v>
      </c>
      <c r="D371" t="s">
        <v>555</v>
      </c>
      <c r="E371" t="s">
        <v>266</v>
      </c>
      <c r="F371" t="b">
        <v>1</v>
      </c>
    </row>
    <row r="372" spans="1:6">
      <c r="A372" t="s">
        <v>238</v>
      </c>
      <c r="B372" t="s">
        <v>278</v>
      </c>
      <c r="C372" t="s">
        <v>457</v>
      </c>
      <c r="D372" t="s">
        <v>555</v>
      </c>
      <c r="E372" t="s">
        <v>458</v>
      </c>
      <c r="F372" t="b">
        <v>0</v>
      </c>
    </row>
    <row r="373" spans="1:6">
      <c r="A373" t="s">
        <v>238</v>
      </c>
      <c r="B373" t="s">
        <v>278</v>
      </c>
      <c r="C373" t="s">
        <v>464</v>
      </c>
      <c r="D373" t="s">
        <v>555</v>
      </c>
      <c r="E373" t="s">
        <v>458</v>
      </c>
      <c r="F373" t="b">
        <v>0</v>
      </c>
    </row>
    <row r="374" spans="1:6">
      <c r="A374" t="s">
        <v>238</v>
      </c>
      <c r="B374" t="s">
        <v>278</v>
      </c>
      <c r="C374" t="s">
        <v>574</v>
      </c>
      <c r="D374" t="s">
        <v>555</v>
      </c>
      <c r="E374" t="s">
        <v>470</v>
      </c>
      <c r="F374" t="b">
        <v>0</v>
      </c>
    </row>
    <row r="375" spans="1:6">
      <c r="A375" t="s">
        <v>238</v>
      </c>
      <c r="B375" t="s">
        <v>278</v>
      </c>
      <c r="C375" t="s">
        <v>559</v>
      </c>
      <c r="D375" t="s">
        <v>555</v>
      </c>
      <c r="E375" t="s">
        <v>266</v>
      </c>
      <c r="F375" t="b">
        <v>1</v>
      </c>
    </row>
    <row r="376" spans="1:6">
      <c r="A376" t="s">
        <v>238</v>
      </c>
      <c r="B376" t="s">
        <v>278</v>
      </c>
      <c r="C376" t="s">
        <v>556</v>
      </c>
      <c r="D376" t="s">
        <v>555</v>
      </c>
      <c r="E376" t="s">
        <v>266</v>
      </c>
      <c r="F376" t="b">
        <v>1</v>
      </c>
    </row>
    <row r="377" spans="1:6">
      <c r="A377" t="s">
        <v>238</v>
      </c>
      <c r="B377" t="s">
        <v>278</v>
      </c>
      <c r="C377" t="s">
        <v>477</v>
      </c>
      <c r="D377" t="s">
        <v>555</v>
      </c>
      <c r="E377" t="s">
        <v>261</v>
      </c>
      <c r="F377" t="b">
        <v>0</v>
      </c>
    </row>
    <row r="378" spans="1:6">
      <c r="A378" t="s">
        <v>238</v>
      </c>
      <c r="B378" t="s">
        <v>278</v>
      </c>
      <c r="C378" t="s">
        <v>557</v>
      </c>
      <c r="D378" t="s">
        <v>555</v>
      </c>
      <c r="E378" t="s">
        <v>458</v>
      </c>
      <c r="F378" t="b">
        <v>0</v>
      </c>
    </row>
    <row r="379" spans="1:6">
      <c r="A379" t="s">
        <v>238</v>
      </c>
      <c r="B379" t="s">
        <v>278</v>
      </c>
      <c r="C379" t="s">
        <v>477</v>
      </c>
      <c r="D379" t="s">
        <v>555</v>
      </c>
      <c r="E379" t="s">
        <v>458</v>
      </c>
      <c r="F379" t="b">
        <v>0</v>
      </c>
    </row>
    <row r="380" spans="1:6">
      <c r="A380" t="s">
        <v>238</v>
      </c>
      <c r="B380" t="s">
        <v>278</v>
      </c>
      <c r="C380" t="s">
        <v>554</v>
      </c>
      <c r="D380" t="s">
        <v>555</v>
      </c>
      <c r="E380" t="s">
        <v>266</v>
      </c>
      <c r="F380" t="b">
        <v>1</v>
      </c>
    </row>
    <row r="381" spans="1:6">
      <c r="A381" t="s">
        <v>238</v>
      </c>
      <c r="B381" t="s">
        <v>278</v>
      </c>
      <c r="C381" t="s">
        <v>460</v>
      </c>
      <c r="D381" t="s">
        <v>555</v>
      </c>
      <c r="E381" t="s">
        <v>458</v>
      </c>
      <c r="F381" t="b">
        <v>0</v>
      </c>
    </row>
    <row r="382" spans="1:6">
      <c r="A382" t="s">
        <v>238</v>
      </c>
      <c r="B382" t="s">
        <v>278</v>
      </c>
      <c r="C382" t="s">
        <v>560</v>
      </c>
      <c r="D382" t="s">
        <v>555</v>
      </c>
      <c r="E382" t="s">
        <v>261</v>
      </c>
      <c r="F382" t="b">
        <v>0</v>
      </c>
    </row>
    <row r="383" spans="1:6">
      <c r="A383" t="s">
        <v>238</v>
      </c>
      <c r="B383" t="s">
        <v>278</v>
      </c>
      <c r="C383" t="s">
        <v>472</v>
      </c>
      <c r="D383" t="s">
        <v>555</v>
      </c>
      <c r="E383" t="s">
        <v>458</v>
      </c>
      <c r="F383" t="b">
        <v>0</v>
      </c>
    </row>
    <row r="384" spans="1:6">
      <c r="A384" t="s">
        <v>238</v>
      </c>
      <c r="B384" t="s">
        <v>278</v>
      </c>
      <c r="C384" t="s">
        <v>561</v>
      </c>
      <c r="D384" t="s">
        <v>555</v>
      </c>
      <c r="E384" t="s">
        <v>266</v>
      </c>
      <c r="F384" t="b">
        <v>1</v>
      </c>
    </row>
    <row r="385" spans="1:6">
      <c r="A385" t="s">
        <v>238</v>
      </c>
      <c r="B385" t="s">
        <v>278</v>
      </c>
      <c r="C385" t="s">
        <v>465</v>
      </c>
      <c r="D385" t="s">
        <v>555</v>
      </c>
      <c r="E385" t="s">
        <v>458</v>
      </c>
      <c r="F385" t="b">
        <v>0</v>
      </c>
    </row>
    <row r="386" spans="1:6">
      <c r="A386" t="s">
        <v>238</v>
      </c>
      <c r="B386" t="s">
        <v>296</v>
      </c>
      <c r="C386" t="s">
        <v>575</v>
      </c>
      <c r="D386" t="s">
        <v>555</v>
      </c>
      <c r="F386" t="b">
        <v>0</v>
      </c>
    </row>
    <row r="387" spans="1:6">
      <c r="A387" t="s">
        <v>238</v>
      </c>
      <c r="B387" t="s">
        <v>296</v>
      </c>
      <c r="C387" t="s">
        <v>576</v>
      </c>
      <c r="D387" t="s">
        <v>555</v>
      </c>
      <c r="F387" t="b">
        <v>0</v>
      </c>
    </row>
    <row r="388" spans="1:6">
      <c r="A388" t="s">
        <v>238</v>
      </c>
      <c r="B388" t="s">
        <v>296</v>
      </c>
      <c r="C388" t="s">
        <v>577</v>
      </c>
      <c r="D388" t="s">
        <v>555</v>
      </c>
      <c r="F388" t="b">
        <v>0</v>
      </c>
    </row>
    <row r="389" spans="1:6">
      <c r="A389" t="s">
        <v>238</v>
      </c>
      <c r="B389" t="s">
        <v>296</v>
      </c>
      <c r="C389" t="s">
        <v>578</v>
      </c>
      <c r="D389" t="s">
        <v>555</v>
      </c>
      <c r="F389" t="b">
        <v>0</v>
      </c>
    </row>
    <row r="390" spans="1:6">
      <c r="A390" t="s">
        <v>238</v>
      </c>
      <c r="B390" t="s">
        <v>296</v>
      </c>
      <c r="C390" t="s">
        <v>579</v>
      </c>
      <c r="D390" t="s">
        <v>555</v>
      </c>
      <c r="F390" t="b">
        <v>0</v>
      </c>
    </row>
    <row r="391" spans="1:6">
      <c r="A391" t="s">
        <v>238</v>
      </c>
      <c r="B391" t="s">
        <v>296</v>
      </c>
      <c r="C391" t="s">
        <v>580</v>
      </c>
      <c r="D391" t="s">
        <v>555</v>
      </c>
      <c r="F391" t="b">
        <v>0</v>
      </c>
    </row>
    <row r="392" spans="1:6">
      <c r="A392" t="s">
        <v>238</v>
      </c>
      <c r="B392" t="s">
        <v>296</v>
      </c>
      <c r="C392" t="s">
        <v>581</v>
      </c>
      <c r="D392" t="s">
        <v>555</v>
      </c>
      <c r="F392" t="b">
        <v>0</v>
      </c>
    </row>
    <row r="393" spans="1:6">
      <c r="A393" t="s">
        <v>238</v>
      </c>
      <c r="B393" t="s">
        <v>296</v>
      </c>
      <c r="C393" t="s">
        <v>582</v>
      </c>
      <c r="D393" t="s">
        <v>555</v>
      </c>
      <c r="F393" t="b">
        <v>0</v>
      </c>
    </row>
    <row r="394" spans="1:6">
      <c r="A394" t="s">
        <v>238</v>
      </c>
      <c r="B394" t="s">
        <v>301</v>
      </c>
      <c r="C394" t="s">
        <v>583</v>
      </c>
      <c r="D394" t="s">
        <v>555</v>
      </c>
      <c r="F394" t="b">
        <v>0</v>
      </c>
    </row>
    <row r="395" spans="1:6">
      <c r="A395" t="s">
        <v>238</v>
      </c>
      <c r="B395" t="s">
        <v>301</v>
      </c>
      <c r="C395" t="s">
        <v>584</v>
      </c>
      <c r="D395" t="s">
        <v>555</v>
      </c>
      <c r="F395" t="b">
        <v>0</v>
      </c>
    </row>
    <row r="396" spans="1:6">
      <c r="A396" t="s">
        <v>238</v>
      </c>
      <c r="B396" t="s">
        <v>301</v>
      </c>
      <c r="C396" t="s">
        <v>585</v>
      </c>
      <c r="D396" t="s">
        <v>555</v>
      </c>
      <c r="F396" t="b">
        <v>0</v>
      </c>
    </row>
    <row r="397" spans="1:6">
      <c r="A397" t="s">
        <v>238</v>
      </c>
      <c r="B397" t="s">
        <v>301</v>
      </c>
      <c r="C397" t="s">
        <v>586</v>
      </c>
      <c r="D397" t="s">
        <v>555</v>
      </c>
      <c r="F397" t="b">
        <v>0</v>
      </c>
    </row>
    <row r="398" spans="1:6">
      <c r="A398" t="s">
        <v>238</v>
      </c>
      <c r="B398" t="s">
        <v>301</v>
      </c>
      <c r="C398" t="s">
        <v>587</v>
      </c>
      <c r="D398" t="s">
        <v>555</v>
      </c>
      <c r="F398" t="b">
        <v>0</v>
      </c>
    </row>
    <row r="399" spans="1:6">
      <c r="A399" t="s">
        <v>238</v>
      </c>
      <c r="B399" t="s">
        <v>301</v>
      </c>
      <c r="C399" t="s">
        <v>588</v>
      </c>
      <c r="D399" t="s">
        <v>555</v>
      </c>
      <c r="F399" t="b">
        <v>0</v>
      </c>
    </row>
    <row r="400" spans="1:6">
      <c r="A400" t="s">
        <v>238</v>
      </c>
      <c r="B400" t="s">
        <v>301</v>
      </c>
      <c r="C400" t="s">
        <v>589</v>
      </c>
      <c r="D400" t="s">
        <v>555</v>
      </c>
      <c r="F400" t="b">
        <v>0</v>
      </c>
    </row>
    <row r="401" spans="1:6">
      <c r="A401" t="s">
        <v>238</v>
      </c>
      <c r="B401" t="s">
        <v>301</v>
      </c>
      <c r="C401" t="s">
        <v>590</v>
      </c>
      <c r="D401" t="s">
        <v>555</v>
      </c>
      <c r="F401" t="b">
        <v>0</v>
      </c>
    </row>
    <row r="402" spans="1:6">
      <c r="A402" t="s">
        <v>238</v>
      </c>
      <c r="B402" t="s">
        <v>301</v>
      </c>
      <c r="C402" t="s">
        <v>591</v>
      </c>
      <c r="D402" t="s">
        <v>555</v>
      </c>
      <c r="F402" t="b">
        <v>0</v>
      </c>
    </row>
    <row r="403" spans="1:6">
      <c r="A403" t="s">
        <v>238</v>
      </c>
      <c r="B403" t="s">
        <v>301</v>
      </c>
      <c r="C403" t="s">
        <v>592</v>
      </c>
      <c r="D403" t="s">
        <v>555</v>
      </c>
      <c r="F403" t="b">
        <v>0</v>
      </c>
    </row>
    <row r="404" spans="1:6">
      <c r="A404" t="s">
        <v>238</v>
      </c>
      <c r="B404" t="s">
        <v>301</v>
      </c>
      <c r="C404" t="s">
        <v>593</v>
      </c>
      <c r="D404" t="s">
        <v>555</v>
      </c>
      <c r="F404" t="b">
        <v>0</v>
      </c>
    </row>
    <row r="405" spans="1:6">
      <c r="A405" t="s">
        <v>238</v>
      </c>
      <c r="B405" t="s">
        <v>301</v>
      </c>
      <c r="C405" t="s">
        <v>594</v>
      </c>
      <c r="D405" t="s">
        <v>555</v>
      </c>
      <c r="F405" t="b">
        <v>0</v>
      </c>
    </row>
    <row r="406" spans="1:6">
      <c r="A406" t="s">
        <v>238</v>
      </c>
      <c r="B406" t="s">
        <v>76</v>
      </c>
      <c r="C406" t="s">
        <v>595</v>
      </c>
      <c r="D406" t="s">
        <v>555</v>
      </c>
      <c r="E406" t="s">
        <v>596</v>
      </c>
      <c r="F406" t="b">
        <v>0</v>
      </c>
    </row>
    <row r="407" spans="1:6">
      <c r="A407" t="s">
        <v>238</v>
      </c>
      <c r="B407" t="s">
        <v>76</v>
      </c>
      <c r="C407" t="s">
        <v>597</v>
      </c>
      <c r="D407" t="s">
        <v>555</v>
      </c>
      <c r="E407" t="s">
        <v>318</v>
      </c>
      <c r="F407" t="b">
        <v>0</v>
      </c>
    </row>
    <row r="408" spans="1:6">
      <c r="A408" t="s">
        <v>238</v>
      </c>
      <c r="B408" t="s">
        <v>76</v>
      </c>
      <c r="C408" t="s">
        <v>598</v>
      </c>
      <c r="D408" t="s">
        <v>555</v>
      </c>
      <c r="E408" t="s">
        <v>596</v>
      </c>
      <c r="F408" t="b">
        <v>0</v>
      </c>
    </row>
    <row r="409" spans="1:6">
      <c r="A409" t="s">
        <v>238</v>
      </c>
      <c r="B409" t="s">
        <v>76</v>
      </c>
      <c r="C409" t="s">
        <v>599</v>
      </c>
      <c r="D409" t="s">
        <v>555</v>
      </c>
      <c r="E409" t="s">
        <v>489</v>
      </c>
      <c r="F409" t="b">
        <v>0</v>
      </c>
    </row>
    <row r="410" spans="1:6">
      <c r="A410" t="s">
        <v>238</v>
      </c>
      <c r="B410" t="s">
        <v>76</v>
      </c>
      <c r="C410" t="s">
        <v>600</v>
      </c>
      <c r="D410" t="s">
        <v>555</v>
      </c>
      <c r="F410" t="b">
        <v>0</v>
      </c>
    </row>
    <row r="411" spans="1:6">
      <c r="A411" t="s">
        <v>238</v>
      </c>
      <c r="B411" t="s">
        <v>76</v>
      </c>
      <c r="C411" t="s">
        <v>601</v>
      </c>
      <c r="D411" t="s">
        <v>555</v>
      </c>
      <c r="E411" t="s">
        <v>295</v>
      </c>
      <c r="F411" t="b">
        <v>0</v>
      </c>
    </row>
    <row r="412" spans="1:6">
      <c r="A412" t="s">
        <v>238</v>
      </c>
      <c r="B412" t="s">
        <v>76</v>
      </c>
      <c r="C412" t="s">
        <v>602</v>
      </c>
      <c r="D412" t="s">
        <v>555</v>
      </c>
      <c r="E412" t="s">
        <v>489</v>
      </c>
      <c r="F412" t="b">
        <v>0</v>
      </c>
    </row>
    <row r="413" spans="1:6">
      <c r="A413" t="s">
        <v>238</v>
      </c>
      <c r="B413" t="s">
        <v>76</v>
      </c>
      <c r="C413" t="s">
        <v>601</v>
      </c>
      <c r="D413" t="s">
        <v>555</v>
      </c>
      <c r="E413" t="s">
        <v>313</v>
      </c>
      <c r="F413" t="b">
        <v>0</v>
      </c>
    </row>
    <row r="414" spans="1:6">
      <c r="A414" t="s">
        <v>238</v>
      </c>
      <c r="B414" t="s">
        <v>76</v>
      </c>
      <c r="C414" t="s">
        <v>603</v>
      </c>
      <c r="D414" t="s">
        <v>555</v>
      </c>
      <c r="E414" t="s">
        <v>295</v>
      </c>
      <c r="F414" t="b">
        <v>0</v>
      </c>
    </row>
    <row r="415" spans="1:6">
      <c r="A415" t="s">
        <v>238</v>
      </c>
      <c r="B415" t="s">
        <v>76</v>
      </c>
      <c r="C415" t="s">
        <v>604</v>
      </c>
      <c r="D415" t="s">
        <v>555</v>
      </c>
      <c r="F415" t="b">
        <v>1</v>
      </c>
    </row>
    <row r="416" spans="1:6">
      <c r="A416" t="s">
        <v>238</v>
      </c>
      <c r="B416" t="s">
        <v>76</v>
      </c>
      <c r="C416" t="s">
        <v>605</v>
      </c>
      <c r="D416" t="s">
        <v>555</v>
      </c>
      <c r="E416" t="s">
        <v>596</v>
      </c>
      <c r="F416" t="b">
        <v>0</v>
      </c>
    </row>
    <row r="417" spans="1:6">
      <c r="A417" t="s">
        <v>238</v>
      </c>
      <c r="B417" t="s">
        <v>76</v>
      </c>
      <c r="C417" t="s">
        <v>606</v>
      </c>
      <c r="D417" t="s">
        <v>555</v>
      </c>
      <c r="E417" t="s">
        <v>295</v>
      </c>
      <c r="F417" t="b">
        <v>0</v>
      </c>
    </row>
    <row r="418" spans="1:6">
      <c r="A418" t="s">
        <v>238</v>
      </c>
      <c r="B418" t="s">
        <v>76</v>
      </c>
      <c r="C418" t="s">
        <v>607</v>
      </c>
      <c r="D418" t="s">
        <v>555</v>
      </c>
      <c r="E418" t="s">
        <v>489</v>
      </c>
      <c r="F418" t="b">
        <v>0</v>
      </c>
    </row>
    <row r="419" spans="1:6">
      <c r="A419" t="s">
        <v>238</v>
      </c>
      <c r="B419" t="s">
        <v>76</v>
      </c>
      <c r="C419" t="s">
        <v>608</v>
      </c>
      <c r="D419" t="s">
        <v>555</v>
      </c>
      <c r="E419" t="s">
        <v>259</v>
      </c>
      <c r="F419" t="b">
        <v>0</v>
      </c>
    </row>
    <row r="420" spans="1:6">
      <c r="A420" t="s">
        <v>238</v>
      </c>
      <c r="B420" t="s">
        <v>76</v>
      </c>
      <c r="C420" t="s">
        <v>609</v>
      </c>
      <c r="D420" t="s">
        <v>555</v>
      </c>
      <c r="F420" t="b">
        <v>0</v>
      </c>
    </row>
    <row r="421" spans="1:6">
      <c r="A421" t="s">
        <v>238</v>
      </c>
      <c r="B421" t="s">
        <v>76</v>
      </c>
      <c r="C421" t="s">
        <v>603</v>
      </c>
      <c r="D421" t="s">
        <v>555</v>
      </c>
      <c r="E421" t="s">
        <v>313</v>
      </c>
      <c r="F421" t="b">
        <v>0</v>
      </c>
    </row>
    <row r="422" spans="1:6">
      <c r="A422" t="s">
        <v>238</v>
      </c>
      <c r="B422" t="s">
        <v>76</v>
      </c>
      <c r="C422" t="s">
        <v>606</v>
      </c>
      <c r="D422" t="s">
        <v>555</v>
      </c>
      <c r="E422" t="s">
        <v>596</v>
      </c>
      <c r="F422" t="b">
        <v>0</v>
      </c>
    </row>
    <row r="423" spans="1:6">
      <c r="A423" t="s">
        <v>238</v>
      </c>
      <c r="B423" t="s">
        <v>76</v>
      </c>
      <c r="C423" t="s">
        <v>610</v>
      </c>
      <c r="D423" t="s">
        <v>555</v>
      </c>
      <c r="F423" t="b">
        <v>1</v>
      </c>
    </row>
    <row r="424" spans="1:6">
      <c r="A424" t="s">
        <v>238</v>
      </c>
      <c r="B424" t="s">
        <v>76</v>
      </c>
      <c r="C424" t="s">
        <v>597</v>
      </c>
      <c r="D424" t="s">
        <v>555</v>
      </c>
      <c r="E424" t="s">
        <v>313</v>
      </c>
      <c r="F424" t="b">
        <v>0</v>
      </c>
    </row>
    <row r="425" spans="1:6">
      <c r="A425" t="s">
        <v>238</v>
      </c>
      <c r="B425" t="s">
        <v>76</v>
      </c>
      <c r="C425" t="s">
        <v>603</v>
      </c>
      <c r="D425" t="s">
        <v>555</v>
      </c>
      <c r="E425" t="s">
        <v>318</v>
      </c>
      <c r="F425" t="b">
        <v>0</v>
      </c>
    </row>
    <row r="426" spans="1:6">
      <c r="A426" t="s">
        <v>238</v>
      </c>
      <c r="B426" t="s">
        <v>76</v>
      </c>
      <c r="C426" t="s">
        <v>611</v>
      </c>
      <c r="D426" t="s">
        <v>555</v>
      </c>
      <c r="E426" t="s">
        <v>318</v>
      </c>
      <c r="F426" t="b">
        <v>0</v>
      </c>
    </row>
    <row r="427" spans="1:6">
      <c r="A427" t="s">
        <v>238</v>
      </c>
      <c r="B427" t="s">
        <v>76</v>
      </c>
      <c r="C427" t="s">
        <v>612</v>
      </c>
      <c r="D427" t="s">
        <v>555</v>
      </c>
      <c r="E427" t="s">
        <v>295</v>
      </c>
      <c r="F427" t="b">
        <v>0</v>
      </c>
    </row>
    <row r="428" spans="1:6">
      <c r="A428" t="s">
        <v>238</v>
      </c>
      <c r="B428" t="s">
        <v>76</v>
      </c>
      <c r="C428" t="s">
        <v>606</v>
      </c>
      <c r="D428" t="s">
        <v>555</v>
      </c>
      <c r="E428" t="s">
        <v>313</v>
      </c>
      <c r="F428" t="b">
        <v>0</v>
      </c>
    </row>
    <row r="429" spans="1:6">
      <c r="A429" t="s">
        <v>238</v>
      </c>
      <c r="B429" t="s">
        <v>76</v>
      </c>
      <c r="C429" t="s">
        <v>613</v>
      </c>
      <c r="D429" t="s">
        <v>555</v>
      </c>
      <c r="F429" t="b">
        <v>0</v>
      </c>
    </row>
    <row r="430" spans="1:6">
      <c r="A430" t="s">
        <v>238</v>
      </c>
      <c r="B430" t="s">
        <v>76</v>
      </c>
      <c r="C430" t="s">
        <v>614</v>
      </c>
      <c r="D430" t="s">
        <v>555</v>
      </c>
      <c r="F430" t="b">
        <v>0</v>
      </c>
    </row>
    <row r="431" spans="1:6">
      <c r="A431" t="s">
        <v>238</v>
      </c>
      <c r="B431" t="s">
        <v>76</v>
      </c>
      <c r="C431" t="s">
        <v>606</v>
      </c>
      <c r="D431" t="s">
        <v>555</v>
      </c>
      <c r="E431" t="s">
        <v>318</v>
      </c>
      <c r="F431" t="b">
        <v>0</v>
      </c>
    </row>
    <row r="432" spans="1:6">
      <c r="A432" t="s">
        <v>238</v>
      </c>
      <c r="B432" t="s">
        <v>76</v>
      </c>
      <c r="C432" t="s">
        <v>615</v>
      </c>
      <c r="D432" t="s">
        <v>555</v>
      </c>
      <c r="E432" t="s">
        <v>489</v>
      </c>
      <c r="F432" t="b">
        <v>0</v>
      </c>
    </row>
    <row r="433" spans="1:6">
      <c r="A433" t="s">
        <v>239</v>
      </c>
      <c r="B433" t="s">
        <v>80</v>
      </c>
      <c r="C433" t="s">
        <v>616</v>
      </c>
      <c r="D433" t="s">
        <v>617</v>
      </c>
      <c r="F433" t="b">
        <v>0</v>
      </c>
    </row>
    <row r="434" spans="1:6">
      <c r="A434" t="s">
        <v>239</v>
      </c>
      <c r="B434" t="s">
        <v>61</v>
      </c>
      <c r="C434" t="s">
        <v>618</v>
      </c>
      <c r="D434" t="s">
        <v>619</v>
      </c>
      <c r="E434" t="s">
        <v>620</v>
      </c>
      <c r="F434" t="b">
        <v>0</v>
      </c>
    </row>
    <row r="435" spans="1:6">
      <c r="A435" t="s">
        <v>239</v>
      </c>
      <c r="B435" t="s">
        <v>61</v>
      </c>
      <c r="C435" t="s">
        <v>621</v>
      </c>
      <c r="D435" t="s">
        <v>619</v>
      </c>
      <c r="E435" t="s">
        <v>266</v>
      </c>
      <c r="F435" t="b">
        <v>1</v>
      </c>
    </row>
    <row r="436" spans="1:6">
      <c r="A436" t="s">
        <v>239</v>
      </c>
      <c r="B436" t="s">
        <v>61</v>
      </c>
      <c r="C436" t="s">
        <v>622</v>
      </c>
      <c r="D436" t="s">
        <v>619</v>
      </c>
      <c r="E436" t="s">
        <v>623</v>
      </c>
      <c r="F436" t="b">
        <v>0</v>
      </c>
    </row>
    <row r="437" spans="1:6">
      <c r="A437" t="s">
        <v>239</v>
      </c>
      <c r="B437" t="s">
        <v>61</v>
      </c>
      <c r="C437" t="s">
        <v>624</v>
      </c>
      <c r="D437" t="s">
        <v>619</v>
      </c>
      <c r="E437" t="s">
        <v>625</v>
      </c>
      <c r="F437" t="b">
        <v>0</v>
      </c>
    </row>
    <row r="438" spans="1:6">
      <c r="A438" t="s">
        <v>239</v>
      </c>
      <c r="B438" t="s">
        <v>61</v>
      </c>
      <c r="C438" t="s">
        <v>626</v>
      </c>
      <c r="D438" t="s">
        <v>619</v>
      </c>
      <c r="E438" t="s">
        <v>627</v>
      </c>
      <c r="F438" t="b">
        <v>0</v>
      </c>
    </row>
    <row r="439" spans="1:6">
      <c r="A439" t="s">
        <v>239</v>
      </c>
      <c r="B439" t="s">
        <v>61</v>
      </c>
      <c r="C439" t="s">
        <v>628</v>
      </c>
      <c r="D439" t="s">
        <v>619</v>
      </c>
      <c r="E439" t="s">
        <v>623</v>
      </c>
      <c r="F439" t="b">
        <v>0</v>
      </c>
    </row>
    <row r="440" spans="1:6">
      <c r="A440" t="s">
        <v>239</v>
      </c>
      <c r="B440" t="s">
        <v>61</v>
      </c>
      <c r="C440" t="s">
        <v>621</v>
      </c>
      <c r="D440" t="s">
        <v>619</v>
      </c>
      <c r="E440" t="s">
        <v>623</v>
      </c>
      <c r="F440" t="b">
        <v>0</v>
      </c>
    </row>
    <row r="441" spans="1:6">
      <c r="A441" t="s">
        <v>239</v>
      </c>
      <c r="B441" t="s">
        <v>61</v>
      </c>
      <c r="C441" t="s">
        <v>621</v>
      </c>
      <c r="D441" t="s">
        <v>619</v>
      </c>
      <c r="E441" t="s">
        <v>625</v>
      </c>
      <c r="F441" t="b">
        <v>0</v>
      </c>
    </row>
    <row r="442" spans="1:6">
      <c r="A442" t="s">
        <v>239</v>
      </c>
      <c r="B442" t="s">
        <v>61</v>
      </c>
      <c r="C442" t="s">
        <v>629</v>
      </c>
      <c r="D442" t="s">
        <v>619</v>
      </c>
      <c r="E442" t="s">
        <v>266</v>
      </c>
      <c r="F442" t="b">
        <v>1</v>
      </c>
    </row>
    <row r="443" spans="1:6">
      <c r="A443" t="s">
        <v>239</v>
      </c>
      <c r="B443" t="s">
        <v>61</v>
      </c>
      <c r="C443" t="s">
        <v>630</v>
      </c>
      <c r="D443" t="s">
        <v>619</v>
      </c>
      <c r="E443" t="s">
        <v>620</v>
      </c>
      <c r="F443" t="b">
        <v>0</v>
      </c>
    </row>
    <row r="444" spans="1:6">
      <c r="A444" t="s">
        <v>239</v>
      </c>
      <c r="B444" t="s">
        <v>61</v>
      </c>
      <c r="C444" t="s">
        <v>631</v>
      </c>
      <c r="D444" t="s">
        <v>619</v>
      </c>
      <c r="E444" t="s">
        <v>623</v>
      </c>
      <c r="F444" t="b">
        <v>0</v>
      </c>
    </row>
    <row r="445" spans="1:6">
      <c r="A445" t="s">
        <v>239</v>
      </c>
      <c r="B445" t="s">
        <v>61</v>
      </c>
      <c r="C445" t="s">
        <v>621</v>
      </c>
      <c r="D445" t="s">
        <v>619</v>
      </c>
      <c r="E445" t="s">
        <v>620</v>
      </c>
      <c r="F445" t="b">
        <v>0</v>
      </c>
    </row>
    <row r="446" spans="1:6">
      <c r="A446" t="s">
        <v>239</v>
      </c>
      <c r="B446" t="s">
        <v>61</v>
      </c>
      <c r="C446" t="s">
        <v>632</v>
      </c>
      <c r="D446" t="s">
        <v>619</v>
      </c>
      <c r="E446" t="s">
        <v>266</v>
      </c>
      <c r="F446" t="b">
        <v>1</v>
      </c>
    </row>
    <row r="447" spans="1:6">
      <c r="A447" t="s">
        <v>239</v>
      </c>
      <c r="B447" t="s">
        <v>61</v>
      </c>
      <c r="C447" t="s">
        <v>629</v>
      </c>
      <c r="D447" t="s">
        <v>619</v>
      </c>
      <c r="E447" t="s">
        <v>620</v>
      </c>
      <c r="F447" t="b">
        <v>0</v>
      </c>
    </row>
    <row r="448" spans="1:6">
      <c r="A448" t="s">
        <v>239</v>
      </c>
      <c r="B448" t="s">
        <v>61</v>
      </c>
      <c r="C448" t="s">
        <v>633</v>
      </c>
      <c r="D448" t="s">
        <v>619</v>
      </c>
      <c r="E448" t="s">
        <v>627</v>
      </c>
      <c r="F448" t="b">
        <v>0</v>
      </c>
    </row>
    <row r="449" spans="1:6">
      <c r="A449" t="s">
        <v>239</v>
      </c>
      <c r="B449" t="s">
        <v>61</v>
      </c>
      <c r="C449" t="s">
        <v>634</v>
      </c>
      <c r="D449" t="s">
        <v>619</v>
      </c>
      <c r="E449" t="s">
        <v>266</v>
      </c>
      <c r="F449" t="b">
        <v>1</v>
      </c>
    </row>
    <row r="450" spans="1:6">
      <c r="A450" t="s">
        <v>239</v>
      </c>
      <c r="B450" t="s">
        <v>61</v>
      </c>
      <c r="C450" t="s">
        <v>632</v>
      </c>
      <c r="D450" t="s">
        <v>619</v>
      </c>
      <c r="E450" t="s">
        <v>620</v>
      </c>
      <c r="F450" t="b">
        <v>0</v>
      </c>
    </row>
    <row r="451" spans="1:6">
      <c r="A451" t="s">
        <v>239</v>
      </c>
      <c r="B451" t="s">
        <v>73</v>
      </c>
      <c r="C451" t="s">
        <v>621</v>
      </c>
      <c r="D451" t="s">
        <v>619</v>
      </c>
      <c r="E451" t="s">
        <v>635</v>
      </c>
      <c r="F451" t="b">
        <v>0</v>
      </c>
    </row>
    <row r="452" spans="1:6">
      <c r="A452" t="s">
        <v>239</v>
      </c>
      <c r="B452" t="s">
        <v>73</v>
      </c>
      <c r="C452" t="s">
        <v>632</v>
      </c>
      <c r="D452" t="s">
        <v>619</v>
      </c>
      <c r="E452" t="s">
        <v>276</v>
      </c>
      <c r="F452" t="b">
        <v>1</v>
      </c>
    </row>
    <row r="453" spans="1:6">
      <c r="A453" t="s">
        <v>239</v>
      </c>
      <c r="B453" t="s">
        <v>73</v>
      </c>
      <c r="C453" t="s">
        <v>632</v>
      </c>
      <c r="D453" t="s">
        <v>619</v>
      </c>
      <c r="E453" t="s">
        <v>636</v>
      </c>
      <c r="F453" t="b">
        <v>0</v>
      </c>
    </row>
    <row r="454" spans="1:6">
      <c r="A454" t="s">
        <v>239</v>
      </c>
      <c r="B454" t="s">
        <v>73</v>
      </c>
      <c r="C454" t="s">
        <v>637</v>
      </c>
      <c r="D454" t="s">
        <v>619</v>
      </c>
      <c r="E454" t="s">
        <v>623</v>
      </c>
      <c r="F454" t="b">
        <v>0</v>
      </c>
    </row>
    <row r="455" spans="1:6">
      <c r="A455" t="s">
        <v>239</v>
      </c>
      <c r="B455" t="s">
        <v>73</v>
      </c>
      <c r="C455" t="s">
        <v>621</v>
      </c>
      <c r="D455" t="s">
        <v>619</v>
      </c>
      <c r="E455" t="s">
        <v>276</v>
      </c>
      <c r="F455" t="b">
        <v>1</v>
      </c>
    </row>
    <row r="456" spans="1:6">
      <c r="A456" t="s">
        <v>239</v>
      </c>
      <c r="B456" t="s">
        <v>73</v>
      </c>
      <c r="C456" t="s">
        <v>638</v>
      </c>
      <c r="D456" t="s">
        <v>619</v>
      </c>
      <c r="E456" t="s">
        <v>635</v>
      </c>
      <c r="F456" t="b">
        <v>0</v>
      </c>
    </row>
    <row r="457" spans="1:6">
      <c r="A457" t="s">
        <v>239</v>
      </c>
      <c r="B457" t="s">
        <v>73</v>
      </c>
      <c r="C457" t="s">
        <v>630</v>
      </c>
      <c r="D457" t="s">
        <v>619</v>
      </c>
      <c r="E457" t="s">
        <v>636</v>
      </c>
      <c r="F457" t="b">
        <v>0</v>
      </c>
    </row>
    <row r="458" spans="1:6">
      <c r="A458" t="s">
        <v>239</v>
      </c>
      <c r="B458" t="s">
        <v>73</v>
      </c>
      <c r="C458" t="s">
        <v>630</v>
      </c>
      <c r="D458" t="s">
        <v>619</v>
      </c>
      <c r="E458" t="s">
        <v>276</v>
      </c>
      <c r="F458" t="b">
        <v>1</v>
      </c>
    </row>
    <row r="459" spans="1:6">
      <c r="A459" t="s">
        <v>239</v>
      </c>
      <c r="B459" t="s">
        <v>73</v>
      </c>
      <c r="C459" t="s">
        <v>639</v>
      </c>
      <c r="D459" t="s">
        <v>619</v>
      </c>
      <c r="E459" t="s">
        <v>635</v>
      </c>
      <c r="F459" t="b">
        <v>0</v>
      </c>
    </row>
    <row r="460" spans="1:6">
      <c r="A460" t="s">
        <v>239</v>
      </c>
      <c r="B460" t="s">
        <v>73</v>
      </c>
      <c r="C460" t="s">
        <v>640</v>
      </c>
      <c r="D460" t="s">
        <v>619</v>
      </c>
      <c r="E460" t="s">
        <v>636</v>
      </c>
      <c r="F460" t="b">
        <v>0</v>
      </c>
    </row>
    <row r="461" spans="1:6">
      <c r="A461" t="s">
        <v>239</v>
      </c>
      <c r="B461" t="s">
        <v>73</v>
      </c>
      <c r="C461" t="s">
        <v>621</v>
      </c>
      <c r="D461" t="s">
        <v>619</v>
      </c>
      <c r="E461" t="s">
        <v>636</v>
      </c>
      <c r="F461" t="b">
        <v>0</v>
      </c>
    </row>
    <row r="462" spans="1:6">
      <c r="A462" t="s">
        <v>239</v>
      </c>
      <c r="B462" t="s">
        <v>73</v>
      </c>
      <c r="C462" t="s">
        <v>628</v>
      </c>
      <c r="D462" t="s">
        <v>619</v>
      </c>
      <c r="E462" t="s">
        <v>635</v>
      </c>
      <c r="F462" t="b">
        <v>0</v>
      </c>
    </row>
    <row r="463" spans="1:6">
      <c r="A463" t="s">
        <v>239</v>
      </c>
      <c r="B463" t="s">
        <v>73</v>
      </c>
      <c r="C463" t="s">
        <v>640</v>
      </c>
      <c r="D463" t="s">
        <v>619</v>
      </c>
      <c r="E463" t="s">
        <v>276</v>
      </c>
      <c r="F463" t="b">
        <v>1</v>
      </c>
    </row>
    <row r="464" spans="1:6">
      <c r="A464" t="s">
        <v>239</v>
      </c>
      <c r="B464" t="s">
        <v>278</v>
      </c>
      <c r="C464" t="s">
        <v>632</v>
      </c>
      <c r="D464" t="s">
        <v>619</v>
      </c>
      <c r="E464" t="s">
        <v>266</v>
      </c>
      <c r="F464" t="b">
        <v>1</v>
      </c>
    </row>
    <row r="465" spans="1:6">
      <c r="A465" t="s">
        <v>239</v>
      </c>
      <c r="B465" t="s">
        <v>278</v>
      </c>
      <c r="C465" t="s">
        <v>621</v>
      </c>
      <c r="D465" t="s">
        <v>619</v>
      </c>
      <c r="E465" t="s">
        <v>623</v>
      </c>
      <c r="F465" t="b">
        <v>0</v>
      </c>
    </row>
    <row r="466" spans="1:6">
      <c r="A466" t="s">
        <v>239</v>
      </c>
      <c r="B466" t="s">
        <v>278</v>
      </c>
      <c r="C466" t="s">
        <v>621</v>
      </c>
      <c r="D466" t="s">
        <v>619</v>
      </c>
      <c r="E466" t="s">
        <v>266</v>
      </c>
      <c r="F466" t="b">
        <v>1</v>
      </c>
    </row>
    <row r="467" spans="1:6">
      <c r="A467" t="s">
        <v>239</v>
      </c>
      <c r="B467" t="s">
        <v>278</v>
      </c>
      <c r="C467" t="s">
        <v>630</v>
      </c>
      <c r="D467" t="s">
        <v>619</v>
      </c>
      <c r="E467" t="s">
        <v>620</v>
      </c>
      <c r="F467" t="b">
        <v>0</v>
      </c>
    </row>
    <row r="468" spans="1:6">
      <c r="A468" t="s">
        <v>239</v>
      </c>
      <c r="B468" t="s">
        <v>278</v>
      </c>
      <c r="C468" t="s">
        <v>629</v>
      </c>
      <c r="D468" t="s">
        <v>619</v>
      </c>
      <c r="E468" t="s">
        <v>620</v>
      </c>
      <c r="F468" t="b">
        <v>0</v>
      </c>
    </row>
    <row r="469" spans="1:6">
      <c r="A469" t="s">
        <v>239</v>
      </c>
      <c r="B469" t="s">
        <v>278</v>
      </c>
      <c r="C469" t="s">
        <v>633</v>
      </c>
      <c r="D469" t="s">
        <v>619</v>
      </c>
      <c r="E469" t="s">
        <v>627</v>
      </c>
      <c r="F469" t="b">
        <v>0</v>
      </c>
    </row>
    <row r="470" spans="1:6">
      <c r="A470" t="s">
        <v>239</v>
      </c>
      <c r="B470" t="s">
        <v>278</v>
      </c>
      <c r="C470" t="s">
        <v>628</v>
      </c>
      <c r="D470" t="s">
        <v>619</v>
      </c>
      <c r="E470" t="s">
        <v>623</v>
      </c>
      <c r="F470" t="b">
        <v>0</v>
      </c>
    </row>
    <row r="471" spans="1:6">
      <c r="A471" t="s">
        <v>239</v>
      </c>
      <c r="B471" t="s">
        <v>278</v>
      </c>
      <c r="C471" t="s">
        <v>621</v>
      </c>
      <c r="D471" t="s">
        <v>619</v>
      </c>
      <c r="E471" t="s">
        <v>620</v>
      </c>
      <c r="F471" t="b">
        <v>0</v>
      </c>
    </row>
    <row r="472" spans="1:6">
      <c r="A472" t="s">
        <v>239</v>
      </c>
      <c r="B472" t="s">
        <v>278</v>
      </c>
      <c r="C472" t="s">
        <v>632</v>
      </c>
      <c r="D472" t="s">
        <v>619</v>
      </c>
      <c r="E472" t="s">
        <v>620</v>
      </c>
      <c r="F472" t="b">
        <v>0</v>
      </c>
    </row>
    <row r="473" spans="1:6">
      <c r="A473" t="s">
        <v>239</v>
      </c>
      <c r="B473" t="s">
        <v>278</v>
      </c>
      <c r="C473" t="s">
        <v>629</v>
      </c>
      <c r="D473" t="s">
        <v>619</v>
      </c>
      <c r="E473" t="s">
        <v>266</v>
      </c>
      <c r="F473" t="b">
        <v>1</v>
      </c>
    </row>
    <row r="474" spans="1:6">
      <c r="A474" t="s">
        <v>239</v>
      </c>
      <c r="B474" t="s">
        <v>278</v>
      </c>
      <c r="C474" t="s">
        <v>634</v>
      </c>
      <c r="D474" t="s">
        <v>619</v>
      </c>
      <c r="E474" t="s">
        <v>266</v>
      </c>
      <c r="F474" t="b">
        <v>1</v>
      </c>
    </row>
    <row r="475" spans="1:6">
      <c r="A475" t="s">
        <v>239</v>
      </c>
      <c r="B475" t="s">
        <v>278</v>
      </c>
      <c r="C475" t="s">
        <v>631</v>
      </c>
      <c r="D475" t="s">
        <v>619</v>
      </c>
      <c r="E475" t="s">
        <v>623</v>
      </c>
      <c r="F475" t="b">
        <v>0</v>
      </c>
    </row>
    <row r="476" spans="1:6">
      <c r="A476" t="s">
        <v>239</v>
      </c>
      <c r="B476" t="s">
        <v>278</v>
      </c>
      <c r="C476" t="s">
        <v>618</v>
      </c>
      <c r="D476" t="s">
        <v>619</v>
      </c>
      <c r="E476" t="s">
        <v>620</v>
      </c>
      <c r="F476" t="b">
        <v>0</v>
      </c>
    </row>
    <row r="477" spans="1:6">
      <c r="A477" t="s">
        <v>239</v>
      </c>
      <c r="B477" t="s">
        <v>278</v>
      </c>
      <c r="C477" t="s">
        <v>626</v>
      </c>
      <c r="D477" t="s">
        <v>619</v>
      </c>
      <c r="E477" t="s">
        <v>627</v>
      </c>
      <c r="F477" t="b">
        <v>0</v>
      </c>
    </row>
    <row r="478" spans="1:6">
      <c r="A478" t="s">
        <v>239</v>
      </c>
      <c r="B478" t="s">
        <v>296</v>
      </c>
      <c r="C478" t="s">
        <v>641</v>
      </c>
      <c r="D478" t="s">
        <v>619</v>
      </c>
      <c r="F478" t="b">
        <v>0</v>
      </c>
    </row>
    <row r="479" spans="1:6">
      <c r="A479" t="s">
        <v>239</v>
      </c>
      <c r="B479" t="s">
        <v>301</v>
      </c>
      <c r="C479" t="s">
        <v>642</v>
      </c>
      <c r="D479" t="s">
        <v>619</v>
      </c>
      <c r="F479" t="b">
        <v>1</v>
      </c>
    </row>
    <row r="480" spans="1:6">
      <c r="A480" t="s">
        <v>239</v>
      </c>
      <c r="B480" t="s">
        <v>301</v>
      </c>
      <c r="C480" t="s">
        <v>643</v>
      </c>
      <c r="D480" t="s">
        <v>619</v>
      </c>
      <c r="F480" t="b">
        <v>0</v>
      </c>
    </row>
    <row r="481" spans="1:6">
      <c r="A481" t="s">
        <v>239</v>
      </c>
      <c r="B481" t="s">
        <v>301</v>
      </c>
      <c r="C481" t="s">
        <v>644</v>
      </c>
      <c r="D481" t="s">
        <v>619</v>
      </c>
      <c r="F481" t="b">
        <v>0</v>
      </c>
    </row>
    <row r="482" spans="1:6">
      <c r="A482" t="s">
        <v>239</v>
      </c>
      <c r="B482" t="s">
        <v>301</v>
      </c>
      <c r="C482" t="s">
        <v>645</v>
      </c>
      <c r="D482" t="s">
        <v>619</v>
      </c>
      <c r="F482" t="b">
        <v>1</v>
      </c>
    </row>
    <row r="483" spans="1:6">
      <c r="A483" t="s">
        <v>239</v>
      </c>
      <c r="B483" t="s">
        <v>301</v>
      </c>
      <c r="C483" t="s">
        <v>646</v>
      </c>
      <c r="D483" t="s">
        <v>619</v>
      </c>
      <c r="F483" t="b">
        <v>0</v>
      </c>
    </row>
    <row r="484" spans="1:6">
      <c r="A484" t="s">
        <v>239</v>
      </c>
      <c r="B484" t="s">
        <v>301</v>
      </c>
      <c r="C484" t="s">
        <v>647</v>
      </c>
      <c r="D484" t="s">
        <v>619</v>
      </c>
      <c r="F484" t="b">
        <v>1</v>
      </c>
    </row>
    <row r="485" spans="1:6">
      <c r="A485" t="s">
        <v>239</v>
      </c>
      <c r="B485" t="s">
        <v>301</v>
      </c>
      <c r="C485" t="s">
        <v>648</v>
      </c>
      <c r="D485" t="s">
        <v>619</v>
      </c>
      <c r="F485" t="b">
        <v>0</v>
      </c>
    </row>
    <row r="486" spans="1:6">
      <c r="A486" t="s">
        <v>239</v>
      </c>
      <c r="B486" t="s">
        <v>301</v>
      </c>
      <c r="C486" t="s">
        <v>649</v>
      </c>
      <c r="D486" t="s">
        <v>619</v>
      </c>
      <c r="F486" t="b">
        <v>0</v>
      </c>
    </row>
    <row r="487" spans="1:6">
      <c r="A487" t="s">
        <v>239</v>
      </c>
      <c r="B487" t="s">
        <v>301</v>
      </c>
      <c r="C487" t="s">
        <v>650</v>
      </c>
      <c r="D487" t="s">
        <v>619</v>
      </c>
      <c r="F487" t="b">
        <v>1</v>
      </c>
    </row>
    <row r="488" spans="1:6">
      <c r="A488" t="s">
        <v>239</v>
      </c>
      <c r="B488" t="s">
        <v>301</v>
      </c>
      <c r="C488" t="s">
        <v>651</v>
      </c>
      <c r="D488" t="s">
        <v>619</v>
      </c>
      <c r="F488" t="b">
        <v>0</v>
      </c>
    </row>
    <row r="489" spans="1:6">
      <c r="A489" t="s">
        <v>239</v>
      </c>
      <c r="B489" t="s">
        <v>301</v>
      </c>
      <c r="C489" t="s">
        <v>652</v>
      </c>
      <c r="D489" t="s">
        <v>619</v>
      </c>
      <c r="F489" t="b">
        <v>0</v>
      </c>
    </row>
    <row r="490" spans="1:6">
      <c r="A490" t="s">
        <v>239</v>
      </c>
      <c r="B490" t="s">
        <v>301</v>
      </c>
      <c r="C490" t="s">
        <v>653</v>
      </c>
      <c r="D490" t="s">
        <v>619</v>
      </c>
      <c r="F490" t="b">
        <v>0</v>
      </c>
    </row>
    <row r="491" spans="1:6">
      <c r="A491" t="s">
        <v>239</v>
      </c>
      <c r="B491" t="s">
        <v>301</v>
      </c>
      <c r="C491" t="s">
        <v>654</v>
      </c>
      <c r="D491" t="s">
        <v>619</v>
      </c>
      <c r="F491" t="b">
        <v>0</v>
      </c>
    </row>
    <row r="492" spans="1:6">
      <c r="A492" t="s">
        <v>239</v>
      </c>
      <c r="B492" t="s">
        <v>301</v>
      </c>
      <c r="C492" t="s">
        <v>655</v>
      </c>
      <c r="D492" t="s">
        <v>619</v>
      </c>
      <c r="F492" t="b">
        <v>1</v>
      </c>
    </row>
    <row r="493" spans="1:6">
      <c r="A493" t="s">
        <v>239</v>
      </c>
      <c r="B493" t="s">
        <v>301</v>
      </c>
      <c r="C493" t="s">
        <v>656</v>
      </c>
      <c r="D493" t="s">
        <v>619</v>
      </c>
      <c r="F493" t="b">
        <v>0</v>
      </c>
    </row>
    <row r="494" spans="1:6">
      <c r="A494" t="s">
        <v>239</v>
      </c>
      <c r="B494" t="s">
        <v>301</v>
      </c>
      <c r="C494" t="s">
        <v>657</v>
      </c>
      <c r="D494" t="s">
        <v>619</v>
      </c>
      <c r="F494" t="b">
        <v>1</v>
      </c>
    </row>
    <row r="495" spans="1:6">
      <c r="A495" t="s">
        <v>239</v>
      </c>
      <c r="B495" t="s">
        <v>301</v>
      </c>
      <c r="C495" t="s">
        <v>658</v>
      </c>
      <c r="D495" t="s">
        <v>619</v>
      </c>
      <c r="F495" t="b">
        <v>1</v>
      </c>
    </row>
    <row r="496" spans="1:6">
      <c r="A496" t="s">
        <v>239</v>
      </c>
      <c r="B496" t="s">
        <v>301</v>
      </c>
      <c r="C496" t="s">
        <v>659</v>
      </c>
      <c r="D496" t="s">
        <v>619</v>
      </c>
      <c r="F496" t="b">
        <v>0</v>
      </c>
    </row>
    <row r="497" spans="1:6">
      <c r="A497" t="s">
        <v>239</v>
      </c>
      <c r="B497" t="s">
        <v>76</v>
      </c>
      <c r="C497" t="s">
        <v>660</v>
      </c>
      <c r="D497" t="s">
        <v>619</v>
      </c>
      <c r="F497" t="b">
        <v>0</v>
      </c>
    </row>
    <row r="498" spans="1:6">
      <c r="A498" t="s">
        <v>239</v>
      </c>
      <c r="B498" t="s">
        <v>76</v>
      </c>
      <c r="C498" t="s">
        <v>661</v>
      </c>
      <c r="D498" t="s">
        <v>619</v>
      </c>
      <c r="E498" t="s">
        <v>623</v>
      </c>
      <c r="F498" t="b">
        <v>0</v>
      </c>
    </row>
    <row r="499" spans="1:6">
      <c r="A499" t="s">
        <v>239</v>
      </c>
      <c r="B499" t="s">
        <v>76</v>
      </c>
      <c r="C499" t="s">
        <v>662</v>
      </c>
      <c r="D499" t="s">
        <v>619</v>
      </c>
      <c r="E499" t="s">
        <v>620</v>
      </c>
      <c r="F499" t="b">
        <v>0</v>
      </c>
    </row>
    <row r="500" spans="1:6">
      <c r="A500" t="s">
        <v>239</v>
      </c>
      <c r="B500" t="s">
        <v>76</v>
      </c>
      <c r="C500" t="s">
        <v>663</v>
      </c>
      <c r="D500" t="s">
        <v>619</v>
      </c>
      <c r="F500" t="b">
        <v>1</v>
      </c>
    </row>
    <row r="501" spans="1:6">
      <c r="A501" t="s">
        <v>239</v>
      </c>
      <c r="B501" t="s">
        <v>76</v>
      </c>
      <c r="C501" t="s">
        <v>664</v>
      </c>
      <c r="D501" t="s">
        <v>619</v>
      </c>
      <c r="E501" t="s">
        <v>665</v>
      </c>
      <c r="F501" t="b">
        <v>1</v>
      </c>
    </row>
    <row r="502" spans="1:6">
      <c r="A502" t="s">
        <v>239</v>
      </c>
      <c r="B502" t="s">
        <v>76</v>
      </c>
      <c r="C502" t="s">
        <v>666</v>
      </c>
      <c r="D502" t="s">
        <v>619</v>
      </c>
      <c r="F502" t="b">
        <v>0</v>
      </c>
    </row>
    <row r="503" spans="1:6">
      <c r="A503" t="s">
        <v>239</v>
      </c>
      <c r="B503" t="s">
        <v>76</v>
      </c>
      <c r="C503" t="s">
        <v>667</v>
      </c>
      <c r="D503" t="s">
        <v>619</v>
      </c>
      <c r="E503" t="s">
        <v>623</v>
      </c>
      <c r="F503" t="b">
        <v>0</v>
      </c>
    </row>
    <row r="504" spans="1:6">
      <c r="A504" t="s">
        <v>239</v>
      </c>
      <c r="B504" t="s">
        <v>76</v>
      </c>
      <c r="C504" t="s">
        <v>668</v>
      </c>
      <c r="D504" t="s">
        <v>619</v>
      </c>
      <c r="F504" t="b">
        <v>1</v>
      </c>
    </row>
    <row r="505" spans="1:6">
      <c r="A505" t="s">
        <v>239</v>
      </c>
      <c r="B505" t="s">
        <v>76</v>
      </c>
      <c r="C505" t="s">
        <v>669</v>
      </c>
      <c r="D505" t="s">
        <v>619</v>
      </c>
      <c r="E505" t="s">
        <v>620</v>
      </c>
      <c r="F505" t="b">
        <v>0</v>
      </c>
    </row>
    <row r="506" spans="1:6">
      <c r="A506" t="s">
        <v>239</v>
      </c>
      <c r="B506" t="s">
        <v>76</v>
      </c>
      <c r="C506" t="s">
        <v>670</v>
      </c>
      <c r="D506" t="s">
        <v>619</v>
      </c>
      <c r="E506" t="s">
        <v>623</v>
      </c>
      <c r="F506" t="b">
        <v>0</v>
      </c>
    </row>
    <row r="507" spans="1:6">
      <c r="A507" t="s">
        <v>240</v>
      </c>
      <c r="B507" t="s">
        <v>80</v>
      </c>
      <c r="C507" t="s">
        <v>671</v>
      </c>
      <c r="D507" t="s">
        <v>672</v>
      </c>
      <c r="F507" t="b">
        <v>0</v>
      </c>
    </row>
    <row r="508" spans="1:6">
      <c r="A508" t="s">
        <v>240</v>
      </c>
      <c r="B508" t="s">
        <v>80</v>
      </c>
      <c r="C508" t="s">
        <v>673</v>
      </c>
      <c r="D508" t="s">
        <v>672</v>
      </c>
      <c r="F508" t="b">
        <v>0</v>
      </c>
    </row>
    <row r="509" spans="1:6">
      <c r="A509" t="s">
        <v>240</v>
      </c>
      <c r="B509" t="s">
        <v>61</v>
      </c>
      <c r="C509" t="s">
        <v>674</v>
      </c>
      <c r="D509" t="s">
        <v>675</v>
      </c>
      <c r="E509" t="s">
        <v>270</v>
      </c>
      <c r="F509" t="b">
        <v>1</v>
      </c>
    </row>
    <row r="510" spans="1:6">
      <c r="A510" t="s">
        <v>240</v>
      </c>
      <c r="B510" t="s">
        <v>61</v>
      </c>
      <c r="C510" t="s">
        <v>676</v>
      </c>
      <c r="D510" t="s">
        <v>675</v>
      </c>
      <c r="E510" t="s">
        <v>677</v>
      </c>
      <c r="F510" t="b">
        <v>0</v>
      </c>
    </row>
    <row r="511" spans="1:6">
      <c r="A511" t="s">
        <v>240</v>
      </c>
      <c r="B511" t="s">
        <v>61</v>
      </c>
      <c r="C511" t="s">
        <v>678</v>
      </c>
      <c r="D511" t="s">
        <v>675</v>
      </c>
      <c r="E511" t="s">
        <v>677</v>
      </c>
      <c r="F511" t="b">
        <v>0</v>
      </c>
    </row>
    <row r="512" spans="1:6">
      <c r="A512" t="s">
        <v>240</v>
      </c>
      <c r="B512" t="s">
        <v>61</v>
      </c>
      <c r="C512" t="s">
        <v>679</v>
      </c>
      <c r="D512" t="s">
        <v>675</v>
      </c>
      <c r="E512" t="s">
        <v>680</v>
      </c>
      <c r="F512" t="b">
        <v>0</v>
      </c>
    </row>
    <row r="513" spans="1:6">
      <c r="A513" t="s">
        <v>240</v>
      </c>
      <c r="B513" t="s">
        <v>61</v>
      </c>
      <c r="C513" t="s">
        <v>681</v>
      </c>
      <c r="D513" t="s">
        <v>675</v>
      </c>
      <c r="E513" t="s">
        <v>266</v>
      </c>
      <c r="F513" t="b">
        <v>1</v>
      </c>
    </row>
    <row r="514" spans="1:6">
      <c r="A514" t="s">
        <v>240</v>
      </c>
      <c r="B514" t="s">
        <v>61</v>
      </c>
      <c r="C514" t="s">
        <v>682</v>
      </c>
      <c r="D514" t="s">
        <v>675</v>
      </c>
      <c r="E514" t="s">
        <v>266</v>
      </c>
      <c r="F514" t="b">
        <v>1</v>
      </c>
    </row>
    <row r="515" spans="1:6">
      <c r="A515" t="s">
        <v>240</v>
      </c>
      <c r="B515" t="s">
        <v>73</v>
      </c>
      <c r="C515" t="s">
        <v>683</v>
      </c>
      <c r="D515" t="s">
        <v>675</v>
      </c>
      <c r="E515" t="s">
        <v>684</v>
      </c>
      <c r="F515" t="b">
        <v>0</v>
      </c>
    </row>
    <row r="516" spans="1:6">
      <c r="A516" t="s">
        <v>240</v>
      </c>
      <c r="B516" t="s">
        <v>73</v>
      </c>
      <c r="C516" t="s">
        <v>682</v>
      </c>
      <c r="D516" t="s">
        <v>675</v>
      </c>
      <c r="E516" t="s">
        <v>680</v>
      </c>
      <c r="F516" t="b">
        <v>0</v>
      </c>
    </row>
    <row r="517" spans="1:6">
      <c r="A517" t="s">
        <v>240</v>
      </c>
      <c r="B517" t="s">
        <v>73</v>
      </c>
      <c r="C517" t="s">
        <v>685</v>
      </c>
      <c r="D517" t="s">
        <v>675</v>
      </c>
      <c r="E517" t="s">
        <v>686</v>
      </c>
      <c r="F517" t="b">
        <v>0</v>
      </c>
    </row>
    <row r="518" spans="1:6">
      <c r="A518" t="s">
        <v>240</v>
      </c>
      <c r="B518" t="s">
        <v>73</v>
      </c>
      <c r="C518" t="s">
        <v>687</v>
      </c>
      <c r="D518" t="s">
        <v>675</v>
      </c>
      <c r="E518" t="s">
        <v>677</v>
      </c>
      <c r="F518" t="b">
        <v>0</v>
      </c>
    </row>
    <row r="519" spans="1:6">
      <c r="A519" t="s">
        <v>240</v>
      </c>
      <c r="B519" t="s">
        <v>73</v>
      </c>
      <c r="C519" t="s">
        <v>674</v>
      </c>
      <c r="D519" t="s">
        <v>675</v>
      </c>
      <c r="E519" t="s">
        <v>686</v>
      </c>
      <c r="F519" t="b">
        <v>0</v>
      </c>
    </row>
    <row r="520" spans="1:6">
      <c r="A520" t="s">
        <v>240</v>
      </c>
      <c r="B520" t="s">
        <v>73</v>
      </c>
      <c r="C520" t="s">
        <v>681</v>
      </c>
      <c r="D520" t="s">
        <v>675</v>
      </c>
      <c r="E520" t="s">
        <v>680</v>
      </c>
      <c r="F520" t="b">
        <v>0</v>
      </c>
    </row>
    <row r="521" spans="1:6">
      <c r="A521" t="s">
        <v>240</v>
      </c>
      <c r="B521" t="s">
        <v>73</v>
      </c>
      <c r="C521" t="s">
        <v>682</v>
      </c>
      <c r="D521" t="s">
        <v>675</v>
      </c>
      <c r="E521" t="s">
        <v>276</v>
      </c>
      <c r="F521" t="b">
        <v>1</v>
      </c>
    </row>
    <row r="522" spans="1:6">
      <c r="A522" t="s">
        <v>240</v>
      </c>
      <c r="B522" t="s">
        <v>73</v>
      </c>
      <c r="C522" t="s">
        <v>688</v>
      </c>
      <c r="D522" t="s">
        <v>675</v>
      </c>
      <c r="E522" t="s">
        <v>677</v>
      </c>
      <c r="F522" t="b">
        <v>0</v>
      </c>
    </row>
    <row r="523" spans="1:6">
      <c r="A523" t="s">
        <v>240</v>
      </c>
      <c r="B523" t="s">
        <v>73</v>
      </c>
      <c r="C523" t="s">
        <v>676</v>
      </c>
      <c r="D523" t="s">
        <v>675</v>
      </c>
      <c r="E523" t="s">
        <v>684</v>
      </c>
      <c r="F523" t="b">
        <v>0</v>
      </c>
    </row>
    <row r="524" spans="1:6">
      <c r="A524" t="s">
        <v>240</v>
      </c>
      <c r="B524" t="s">
        <v>278</v>
      </c>
      <c r="C524" t="s">
        <v>682</v>
      </c>
      <c r="D524" t="s">
        <v>675</v>
      </c>
      <c r="E524" t="s">
        <v>266</v>
      </c>
      <c r="F524" t="b">
        <v>1</v>
      </c>
    </row>
    <row r="525" spans="1:6">
      <c r="A525" t="s">
        <v>240</v>
      </c>
      <c r="B525" t="s">
        <v>278</v>
      </c>
      <c r="C525" t="s">
        <v>689</v>
      </c>
      <c r="D525" t="s">
        <v>675</v>
      </c>
      <c r="E525" t="s">
        <v>680</v>
      </c>
      <c r="F525" t="b">
        <v>0</v>
      </c>
    </row>
    <row r="526" spans="1:6">
      <c r="A526" t="s">
        <v>240</v>
      </c>
      <c r="B526" t="s">
        <v>278</v>
      </c>
      <c r="C526" t="s">
        <v>674</v>
      </c>
      <c r="D526" t="s">
        <v>675</v>
      </c>
      <c r="E526" t="s">
        <v>270</v>
      </c>
      <c r="F526" t="b">
        <v>1</v>
      </c>
    </row>
    <row r="527" spans="1:6">
      <c r="A527" t="s">
        <v>240</v>
      </c>
      <c r="B527" t="s">
        <v>278</v>
      </c>
      <c r="C527" t="s">
        <v>678</v>
      </c>
      <c r="D527" t="s">
        <v>675</v>
      </c>
      <c r="E527" t="s">
        <v>677</v>
      </c>
      <c r="F527" t="b">
        <v>0</v>
      </c>
    </row>
    <row r="528" spans="1:6">
      <c r="A528" t="s">
        <v>240</v>
      </c>
      <c r="B528" t="s">
        <v>278</v>
      </c>
      <c r="C528" t="s">
        <v>679</v>
      </c>
      <c r="D528" t="s">
        <v>675</v>
      </c>
      <c r="E528" t="s">
        <v>680</v>
      </c>
      <c r="F528" t="b">
        <v>0</v>
      </c>
    </row>
    <row r="529" spans="1:6">
      <c r="A529" t="s">
        <v>240</v>
      </c>
      <c r="B529" t="s">
        <v>278</v>
      </c>
      <c r="C529" t="s">
        <v>681</v>
      </c>
      <c r="D529" t="s">
        <v>675</v>
      </c>
      <c r="E529" t="s">
        <v>266</v>
      </c>
      <c r="F529" t="b">
        <v>1</v>
      </c>
    </row>
    <row r="530" spans="1:6">
      <c r="A530" t="s">
        <v>240</v>
      </c>
      <c r="B530" t="s">
        <v>278</v>
      </c>
      <c r="C530" t="s">
        <v>676</v>
      </c>
      <c r="D530" t="s">
        <v>675</v>
      </c>
      <c r="E530" t="s">
        <v>677</v>
      </c>
      <c r="F530" t="b">
        <v>0</v>
      </c>
    </row>
    <row r="531" spans="1:6">
      <c r="A531" t="s">
        <v>240</v>
      </c>
      <c r="B531" t="s">
        <v>296</v>
      </c>
      <c r="C531" t="s">
        <v>690</v>
      </c>
      <c r="D531" t="s">
        <v>675</v>
      </c>
      <c r="F531" t="b">
        <v>0</v>
      </c>
    </row>
    <row r="532" spans="1:6">
      <c r="A532" t="s">
        <v>240</v>
      </c>
      <c r="B532" t="s">
        <v>296</v>
      </c>
      <c r="C532" t="s">
        <v>691</v>
      </c>
      <c r="D532" t="s">
        <v>675</v>
      </c>
      <c r="F532" t="b">
        <v>1</v>
      </c>
    </row>
    <row r="533" spans="1:6">
      <c r="A533" t="s">
        <v>240</v>
      </c>
      <c r="B533" t="s">
        <v>301</v>
      </c>
      <c r="C533" t="s">
        <v>692</v>
      </c>
      <c r="D533" t="s">
        <v>675</v>
      </c>
      <c r="F533" t="b">
        <v>1</v>
      </c>
    </row>
    <row r="534" spans="1:6">
      <c r="A534" t="s">
        <v>240</v>
      </c>
      <c r="B534" t="s">
        <v>301</v>
      </c>
      <c r="C534" t="s">
        <v>693</v>
      </c>
      <c r="D534" t="s">
        <v>675</v>
      </c>
      <c r="F534" t="b">
        <v>0</v>
      </c>
    </row>
    <row r="535" spans="1:6">
      <c r="A535" t="s">
        <v>240</v>
      </c>
      <c r="B535" t="s">
        <v>301</v>
      </c>
      <c r="C535" t="s">
        <v>694</v>
      </c>
      <c r="D535" t="s">
        <v>675</v>
      </c>
      <c r="F535" t="b">
        <v>0</v>
      </c>
    </row>
    <row r="536" spans="1:6">
      <c r="A536" t="s">
        <v>240</v>
      </c>
      <c r="B536" t="s">
        <v>301</v>
      </c>
      <c r="C536" t="s">
        <v>695</v>
      </c>
      <c r="D536" t="s">
        <v>675</v>
      </c>
      <c r="F536" t="b">
        <v>1</v>
      </c>
    </row>
    <row r="537" spans="1:6">
      <c r="A537" t="s">
        <v>240</v>
      </c>
      <c r="B537" t="s">
        <v>301</v>
      </c>
      <c r="C537" t="s">
        <v>696</v>
      </c>
      <c r="D537" t="s">
        <v>675</v>
      </c>
      <c r="F537" t="b">
        <v>1</v>
      </c>
    </row>
    <row r="538" spans="1:6">
      <c r="A538" t="s">
        <v>240</v>
      </c>
      <c r="B538" t="s">
        <v>301</v>
      </c>
      <c r="C538" t="s">
        <v>697</v>
      </c>
      <c r="D538" t="s">
        <v>675</v>
      </c>
      <c r="F538" t="b">
        <v>0</v>
      </c>
    </row>
    <row r="539" spans="1:6">
      <c r="A539" t="s">
        <v>240</v>
      </c>
      <c r="B539" t="s">
        <v>301</v>
      </c>
      <c r="C539" t="s">
        <v>698</v>
      </c>
      <c r="D539" t="s">
        <v>675</v>
      </c>
      <c r="F539" t="b">
        <v>1</v>
      </c>
    </row>
    <row r="540" spans="1:6">
      <c r="A540" t="s">
        <v>240</v>
      </c>
      <c r="B540" t="s">
        <v>301</v>
      </c>
      <c r="C540" t="s">
        <v>699</v>
      </c>
      <c r="D540" t="s">
        <v>675</v>
      </c>
      <c r="F540" t="b">
        <v>0</v>
      </c>
    </row>
    <row r="541" spans="1:6">
      <c r="A541" t="s">
        <v>240</v>
      </c>
      <c r="B541" t="s">
        <v>76</v>
      </c>
      <c r="C541" t="s">
        <v>700</v>
      </c>
      <c r="D541" t="s">
        <v>675</v>
      </c>
      <c r="F541" t="b">
        <v>1</v>
      </c>
    </row>
    <row r="542" spans="1:6">
      <c r="A542" t="s">
        <v>240</v>
      </c>
      <c r="B542" t="s">
        <v>76</v>
      </c>
      <c r="C542" t="s">
        <v>701</v>
      </c>
      <c r="D542" t="s">
        <v>675</v>
      </c>
      <c r="F542" t="b">
        <v>0</v>
      </c>
    </row>
    <row r="543" spans="1:6">
      <c r="A543" t="s">
        <v>240</v>
      </c>
      <c r="B543" t="s">
        <v>76</v>
      </c>
      <c r="C543" t="s">
        <v>702</v>
      </c>
      <c r="D543" t="s">
        <v>675</v>
      </c>
      <c r="F543" t="b">
        <v>1</v>
      </c>
    </row>
    <row r="544" spans="1:6">
      <c r="A544" t="s">
        <v>240</v>
      </c>
      <c r="B544" t="s">
        <v>76</v>
      </c>
      <c r="C544" t="s">
        <v>703</v>
      </c>
      <c r="D544" t="s">
        <v>675</v>
      </c>
      <c r="F544" t="b">
        <v>0</v>
      </c>
    </row>
    <row r="545" spans="1:6">
      <c r="A545" t="s">
        <v>240</v>
      </c>
      <c r="B545" t="s">
        <v>76</v>
      </c>
      <c r="C545" t="s">
        <v>704</v>
      </c>
      <c r="D545" t="s">
        <v>675</v>
      </c>
      <c r="F545" t="b">
        <v>0</v>
      </c>
    </row>
    <row r="546" spans="1:6">
      <c r="A546" t="s">
        <v>241</v>
      </c>
      <c r="B546" t="s">
        <v>80</v>
      </c>
      <c r="C546" t="s">
        <v>705</v>
      </c>
      <c r="D546" t="s">
        <v>706</v>
      </c>
      <c r="F546" t="b">
        <v>0</v>
      </c>
    </row>
    <row r="547" spans="1:6">
      <c r="A547" t="s">
        <v>241</v>
      </c>
      <c r="B547" t="s">
        <v>80</v>
      </c>
      <c r="C547" t="s">
        <v>705</v>
      </c>
      <c r="D547" t="s">
        <v>706</v>
      </c>
      <c r="F547" t="b">
        <v>0</v>
      </c>
    </row>
    <row r="548" spans="1:6">
      <c r="A548" t="s">
        <v>241</v>
      </c>
      <c r="B548" t="s">
        <v>61</v>
      </c>
      <c r="C548" t="s">
        <v>707</v>
      </c>
      <c r="D548" t="s">
        <v>708</v>
      </c>
      <c r="E548" t="s">
        <v>709</v>
      </c>
      <c r="F548" t="b">
        <v>0</v>
      </c>
    </row>
    <row r="549" spans="1:6">
      <c r="A549" t="s">
        <v>241</v>
      </c>
      <c r="B549" t="s">
        <v>61</v>
      </c>
      <c r="C549" t="s">
        <v>710</v>
      </c>
      <c r="D549" t="s">
        <v>708</v>
      </c>
      <c r="E549" t="s">
        <v>709</v>
      </c>
      <c r="F549" t="b">
        <v>0</v>
      </c>
    </row>
    <row r="550" spans="1:6">
      <c r="A550" t="s">
        <v>241</v>
      </c>
      <c r="B550" t="s">
        <v>61</v>
      </c>
      <c r="C550" t="s">
        <v>711</v>
      </c>
      <c r="D550" t="s">
        <v>708</v>
      </c>
      <c r="E550" t="s">
        <v>712</v>
      </c>
      <c r="F550" t="b">
        <v>0</v>
      </c>
    </row>
    <row r="551" spans="1:6">
      <c r="A551" t="s">
        <v>241</v>
      </c>
      <c r="B551" t="s">
        <v>61</v>
      </c>
      <c r="C551" t="s">
        <v>713</v>
      </c>
      <c r="D551" t="s">
        <v>708</v>
      </c>
      <c r="E551" t="s">
        <v>714</v>
      </c>
      <c r="F551" t="b">
        <v>0</v>
      </c>
    </row>
    <row r="552" spans="1:6">
      <c r="A552" t="s">
        <v>241</v>
      </c>
      <c r="B552" t="s">
        <v>61</v>
      </c>
      <c r="C552" t="s">
        <v>715</v>
      </c>
      <c r="D552" t="s">
        <v>708</v>
      </c>
      <c r="E552" t="s">
        <v>712</v>
      </c>
      <c r="F552" t="b">
        <v>0</v>
      </c>
    </row>
    <row r="553" spans="1:6">
      <c r="A553" t="s">
        <v>241</v>
      </c>
      <c r="B553" t="s">
        <v>61</v>
      </c>
      <c r="C553" t="s">
        <v>716</v>
      </c>
      <c r="D553" t="s">
        <v>708</v>
      </c>
      <c r="E553" t="s">
        <v>717</v>
      </c>
      <c r="F553" t="b">
        <v>0</v>
      </c>
    </row>
    <row r="554" spans="1:6">
      <c r="A554" t="s">
        <v>241</v>
      </c>
      <c r="B554" t="s">
        <v>61</v>
      </c>
      <c r="C554" t="s">
        <v>718</v>
      </c>
      <c r="D554" t="s">
        <v>708</v>
      </c>
      <c r="E554" t="s">
        <v>719</v>
      </c>
      <c r="F554" t="b">
        <v>0</v>
      </c>
    </row>
    <row r="555" spans="1:6">
      <c r="A555" t="s">
        <v>241</v>
      </c>
      <c r="B555" t="s">
        <v>61</v>
      </c>
      <c r="C555" t="s">
        <v>711</v>
      </c>
      <c r="D555" t="s">
        <v>708</v>
      </c>
      <c r="E555" t="s">
        <v>719</v>
      </c>
      <c r="F555" t="b">
        <v>0</v>
      </c>
    </row>
    <row r="556" spans="1:6">
      <c r="A556" t="s">
        <v>241</v>
      </c>
      <c r="B556" t="s">
        <v>61</v>
      </c>
      <c r="C556" t="s">
        <v>720</v>
      </c>
      <c r="D556" t="s">
        <v>708</v>
      </c>
      <c r="E556" t="s">
        <v>712</v>
      </c>
      <c r="F556" t="b">
        <v>0</v>
      </c>
    </row>
    <row r="557" spans="1:6">
      <c r="A557" t="s">
        <v>241</v>
      </c>
      <c r="B557" t="s">
        <v>61</v>
      </c>
      <c r="C557" t="s">
        <v>721</v>
      </c>
      <c r="D557" t="s">
        <v>708</v>
      </c>
      <c r="E557" t="s">
        <v>712</v>
      </c>
      <c r="F557" t="b">
        <v>0</v>
      </c>
    </row>
    <row r="558" spans="1:6">
      <c r="A558" t="s">
        <v>241</v>
      </c>
      <c r="B558" t="s">
        <v>73</v>
      </c>
      <c r="C558" t="s">
        <v>722</v>
      </c>
      <c r="D558" t="s">
        <v>708</v>
      </c>
      <c r="F558" t="b">
        <v>0</v>
      </c>
    </row>
    <row r="559" spans="1:6">
      <c r="A559" t="s">
        <v>241</v>
      </c>
      <c r="B559" t="s">
        <v>73</v>
      </c>
      <c r="C559" t="s">
        <v>723</v>
      </c>
      <c r="D559" t="s">
        <v>708</v>
      </c>
      <c r="F559" t="b">
        <v>0</v>
      </c>
    </row>
    <row r="560" spans="1:6">
      <c r="A560" t="s">
        <v>241</v>
      </c>
      <c r="B560" t="s">
        <v>73</v>
      </c>
      <c r="C560" t="s">
        <v>724</v>
      </c>
      <c r="D560" t="s">
        <v>708</v>
      </c>
      <c r="F560" t="b">
        <v>0</v>
      </c>
    </row>
    <row r="561" spans="1:6">
      <c r="A561" t="s">
        <v>241</v>
      </c>
      <c r="B561" t="s">
        <v>73</v>
      </c>
      <c r="C561" t="s">
        <v>725</v>
      </c>
      <c r="D561" t="s">
        <v>708</v>
      </c>
      <c r="E561" t="s">
        <v>726</v>
      </c>
      <c r="F561" t="b">
        <v>0</v>
      </c>
    </row>
    <row r="562" spans="1:6">
      <c r="A562" t="s">
        <v>241</v>
      </c>
      <c r="B562" t="s">
        <v>73</v>
      </c>
      <c r="C562" t="s">
        <v>727</v>
      </c>
      <c r="D562" t="s">
        <v>708</v>
      </c>
      <c r="E562" t="s">
        <v>728</v>
      </c>
      <c r="F562" t="b">
        <v>0</v>
      </c>
    </row>
    <row r="563" spans="1:6">
      <c r="A563" t="s">
        <v>241</v>
      </c>
      <c r="B563" t="s">
        <v>73</v>
      </c>
      <c r="C563" t="s">
        <v>729</v>
      </c>
      <c r="D563" t="s">
        <v>708</v>
      </c>
      <c r="E563" t="s">
        <v>730</v>
      </c>
      <c r="F563" t="b">
        <v>0</v>
      </c>
    </row>
    <row r="564" spans="1:6">
      <c r="A564" t="s">
        <v>241</v>
      </c>
      <c r="B564" t="s">
        <v>73</v>
      </c>
      <c r="C564" t="s">
        <v>731</v>
      </c>
      <c r="D564" t="s">
        <v>708</v>
      </c>
      <c r="E564" t="s">
        <v>732</v>
      </c>
      <c r="F564" t="b">
        <v>0</v>
      </c>
    </row>
    <row r="565" spans="1:6">
      <c r="A565" t="s">
        <v>241</v>
      </c>
      <c r="B565" t="s">
        <v>73</v>
      </c>
      <c r="C565" t="s">
        <v>733</v>
      </c>
      <c r="D565" t="s">
        <v>708</v>
      </c>
      <c r="E565" t="s">
        <v>734</v>
      </c>
      <c r="F565" t="b">
        <v>0</v>
      </c>
    </row>
    <row r="566" spans="1:6">
      <c r="A566" t="s">
        <v>241</v>
      </c>
      <c r="B566" t="s">
        <v>73</v>
      </c>
      <c r="C566" t="s">
        <v>735</v>
      </c>
      <c r="D566" t="s">
        <v>708</v>
      </c>
      <c r="E566" t="s">
        <v>736</v>
      </c>
      <c r="F566" t="b">
        <v>0</v>
      </c>
    </row>
    <row r="567" spans="1:6">
      <c r="A567" t="s">
        <v>241</v>
      </c>
      <c r="B567" t="s">
        <v>73</v>
      </c>
      <c r="C567" t="s">
        <v>737</v>
      </c>
      <c r="D567" t="s">
        <v>708</v>
      </c>
      <c r="E567" t="s">
        <v>726</v>
      </c>
      <c r="F567" t="b">
        <v>0</v>
      </c>
    </row>
    <row r="568" spans="1:6">
      <c r="A568" t="s">
        <v>241</v>
      </c>
      <c r="B568" t="s">
        <v>73</v>
      </c>
      <c r="C568" t="s">
        <v>738</v>
      </c>
      <c r="D568" t="s">
        <v>708</v>
      </c>
      <c r="E568" t="s">
        <v>734</v>
      </c>
      <c r="F568" t="b">
        <v>0</v>
      </c>
    </row>
    <row r="569" spans="1:6">
      <c r="A569" t="s">
        <v>241</v>
      </c>
      <c r="B569" t="s">
        <v>73</v>
      </c>
      <c r="C569" t="s">
        <v>739</v>
      </c>
      <c r="D569" t="s">
        <v>708</v>
      </c>
      <c r="E569" t="s">
        <v>734</v>
      </c>
      <c r="F569" t="b">
        <v>0</v>
      </c>
    </row>
    <row r="570" spans="1:6">
      <c r="A570" t="s">
        <v>241</v>
      </c>
      <c r="B570" t="s">
        <v>73</v>
      </c>
      <c r="C570" t="s">
        <v>740</v>
      </c>
      <c r="D570" t="s">
        <v>708</v>
      </c>
      <c r="E570" t="s">
        <v>275</v>
      </c>
      <c r="F570" t="b">
        <v>1</v>
      </c>
    </row>
    <row r="571" spans="1:6">
      <c r="A571" t="s">
        <v>241</v>
      </c>
      <c r="B571" t="s">
        <v>73</v>
      </c>
      <c r="C571" t="s">
        <v>741</v>
      </c>
      <c r="D571" t="s">
        <v>708</v>
      </c>
      <c r="E571" t="s">
        <v>276</v>
      </c>
      <c r="F571" t="b">
        <v>1</v>
      </c>
    </row>
    <row r="572" spans="1:6">
      <c r="A572" t="s">
        <v>241</v>
      </c>
      <c r="B572" t="s">
        <v>73</v>
      </c>
      <c r="C572" t="s">
        <v>742</v>
      </c>
      <c r="D572" t="s">
        <v>708</v>
      </c>
      <c r="F572" t="b">
        <v>0</v>
      </c>
    </row>
    <row r="573" spans="1:6">
      <c r="A573" t="s">
        <v>241</v>
      </c>
      <c r="B573" t="s">
        <v>73</v>
      </c>
      <c r="C573" t="s">
        <v>743</v>
      </c>
      <c r="D573" t="s">
        <v>708</v>
      </c>
      <c r="E573" t="s">
        <v>734</v>
      </c>
      <c r="F573" t="b">
        <v>0</v>
      </c>
    </row>
    <row r="574" spans="1:6">
      <c r="A574" t="s">
        <v>241</v>
      </c>
      <c r="B574" t="s">
        <v>73</v>
      </c>
      <c r="C574" t="s">
        <v>744</v>
      </c>
      <c r="D574" t="s">
        <v>708</v>
      </c>
      <c r="E574" t="s">
        <v>745</v>
      </c>
      <c r="F574" t="b">
        <v>0</v>
      </c>
    </row>
    <row r="575" spans="1:6">
      <c r="A575" t="s">
        <v>241</v>
      </c>
      <c r="B575" t="s">
        <v>73</v>
      </c>
      <c r="C575" t="s">
        <v>746</v>
      </c>
      <c r="D575" t="s">
        <v>708</v>
      </c>
      <c r="E575" t="s">
        <v>728</v>
      </c>
      <c r="F575" t="b">
        <v>0</v>
      </c>
    </row>
    <row r="576" spans="1:6">
      <c r="A576" t="s">
        <v>241</v>
      </c>
      <c r="B576" t="s">
        <v>73</v>
      </c>
      <c r="C576" t="s">
        <v>747</v>
      </c>
      <c r="D576" t="s">
        <v>708</v>
      </c>
      <c r="E576" t="s">
        <v>726</v>
      </c>
      <c r="F576" t="b">
        <v>0</v>
      </c>
    </row>
    <row r="577" spans="1:6">
      <c r="A577" t="s">
        <v>241</v>
      </c>
      <c r="B577" t="s">
        <v>73</v>
      </c>
      <c r="C577" t="s">
        <v>748</v>
      </c>
      <c r="D577" t="s">
        <v>708</v>
      </c>
      <c r="E577" t="s">
        <v>745</v>
      </c>
      <c r="F577" t="b">
        <v>0</v>
      </c>
    </row>
    <row r="578" spans="1:6">
      <c r="A578" t="s">
        <v>241</v>
      </c>
      <c r="B578" t="s">
        <v>73</v>
      </c>
      <c r="C578" t="s">
        <v>749</v>
      </c>
      <c r="D578" t="s">
        <v>708</v>
      </c>
      <c r="E578" t="s">
        <v>734</v>
      </c>
      <c r="F578" t="b">
        <v>0</v>
      </c>
    </row>
    <row r="579" spans="1:6">
      <c r="A579" t="s">
        <v>241</v>
      </c>
      <c r="B579" t="s">
        <v>73</v>
      </c>
      <c r="C579" t="s">
        <v>718</v>
      </c>
      <c r="D579" t="s">
        <v>708</v>
      </c>
      <c r="E579" t="s">
        <v>732</v>
      </c>
      <c r="F579" t="b">
        <v>0</v>
      </c>
    </row>
    <row r="580" spans="1:6">
      <c r="A580" t="s">
        <v>241</v>
      </c>
      <c r="B580" t="s">
        <v>73</v>
      </c>
      <c r="C580" t="s">
        <v>750</v>
      </c>
      <c r="D580" t="s">
        <v>708</v>
      </c>
      <c r="F580" t="b">
        <v>0</v>
      </c>
    </row>
    <row r="581" spans="1:6">
      <c r="A581" t="s">
        <v>241</v>
      </c>
      <c r="B581" t="s">
        <v>73</v>
      </c>
      <c r="C581" t="s">
        <v>751</v>
      </c>
      <c r="D581" t="s">
        <v>708</v>
      </c>
      <c r="E581" t="s">
        <v>728</v>
      </c>
      <c r="F581" t="b">
        <v>0</v>
      </c>
    </row>
    <row r="582" spans="1:6">
      <c r="A582" t="s">
        <v>241</v>
      </c>
      <c r="B582" t="s">
        <v>73</v>
      </c>
      <c r="C582" t="s">
        <v>752</v>
      </c>
      <c r="D582" t="s">
        <v>708</v>
      </c>
      <c r="F582" t="b">
        <v>0</v>
      </c>
    </row>
    <row r="583" spans="1:6">
      <c r="A583" t="s">
        <v>241</v>
      </c>
      <c r="B583" t="s">
        <v>73</v>
      </c>
      <c r="C583" t="s">
        <v>741</v>
      </c>
      <c r="D583" t="s">
        <v>708</v>
      </c>
      <c r="E583" t="s">
        <v>753</v>
      </c>
      <c r="F583" t="b">
        <v>0</v>
      </c>
    </row>
    <row r="584" spans="1:6">
      <c r="A584" t="s">
        <v>241</v>
      </c>
      <c r="B584" t="s">
        <v>73</v>
      </c>
      <c r="C584" t="s">
        <v>737</v>
      </c>
      <c r="D584" t="s">
        <v>708</v>
      </c>
      <c r="E584" t="s">
        <v>732</v>
      </c>
      <c r="F584" t="b">
        <v>0</v>
      </c>
    </row>
    <row r="585" spans="1:6">
      <c r="A585" t="s">
        <v>241</v>
      </c>
      <c r="B585" t="s">
        <v>278</v>
      </c>
      <c r="C585" t="s">
        <v>711</v>
      </c>
      <c r="D585" t="s">
        <v>708</v>
      </c>
      <c r="E585" t="s">
        <v>712</v>
      </c>
      <c r="F585" t="b">
        <v>0</v>
      </c>
    </row>
    <row r="586" spans="1:6">
      <c r="A586" t="s">
        <v>241</v>
      </c>
      <c r="B586" t="s">
        <v>278</v>
      </c>
      <c r="C586" t="s">
        <v>720</v>
      </c>
      <c r="D586" t="s">
        <v>708</v>
      </c>
      <c r="E586" t="s">
        <v>712</v>
      </c>
      <c r="F586" t="b">
        <v>0</v>
      </c>
    </row>
    <row r="587" spans="1:6">
      <c r="A587" t="s">
        <v>241</v>
      </c>
      <c r="B587" t="s">
        <v>278</v>
      </c>
      <c r="C587" t="s">
        <v>721</v>
      </c>
      <c r="D587" t="s">
        <v>708</v>
      </c>
      <c r="E587" t="s">
        <v>712</v>
      </c>
      <c r="F587" t="b">
        <v>0</v>
      </c>
    </row>
    <row r="588" spans="1:6">
      <c r="A588" t="s">
        <v>241</v>
      </c>
      <c r="B588" t="s">
        <v>278</v>
      </c>
      <c r="C588" t="s">
        <v>711</v>
      </c>
      <c r="D588" t="s">
        <v>708</v>
      </c>
      <c r="E588" t="s">
        <v>719</v>
      </c>
      <c r="F588" t="b">
        <v>0</v>
      </c>
    </row>
    <row r="589" spans="1:6">
      <c r="A589" t="s">
        <v>241</v>
      </c>
      <c r="B589" t="s">
        <v>278</v>
      </c>
      <c r="C589" t="s">
        <v>710</v>
      </c>
      <c r="D589" t="s">
        <v>708</v>
      </c>
      <c r="E589" t="s">
        <v>709</v>
      </c>
      <c r="F589" t="b">
        <v>0</v>
      </c>
    </row>
    <row r="590" spans="1:6">
      <c r="A590" t="s">
        <v>241</v>
      </c>
      <c r="B590" t="s">
        <v>278</v>
      </c>
      <c r="C590" t="s">
        <v>715</v>
      </c>
      <c r="D590" t="s">
        <v>708</v>
      </c>
      <c r="E590" t="s">
        <v>712</v>
      </c>
      <c r="F590" t="b">
        <v>0</v>
      </c>
    </row>
    <row r="591" spans="1:6">
      <c r="A591" t="s">
        <v>241</v>
      </c>
      <c r="B591" t="s">
        <v>278</v>
      </c>
      <c r="C591" t="s">
        <v>716</v>
      </c>
      <c r="D591" t="s">
        <v>708</v>
      </c>
      <c r="E591" t="s">
        <v>717</v>
      </c>
      <c r="F591" t="b">
        <v>0</v>
      </c>
    </row>
    <row r="592" spans="1:6">
      <c r="A592" t="s">
        <v>241</v>
      </c>
      <c r="B592" t="s">
        <v>278</v>
      </c>
      <c r="C592" t="s">
        <v>713</v>
      </c>
      <c r="D592" t="s">
        <v>708</v>
      </c>
      <c r="E592" t="s">
        <v>714</v>
      </c>
      <c r="F592" t="b">
        <v>0</v>
      </c>
    </row>
    <row r="593" spans="1:6">
      <c r="A593" t="s">
        <v>241</v>
      </c>
      <c r="B593" t="s">
        <v>278</v>
      </c>
      <c r="C593" t="s">
        <v>707</v>
      </c>
      <c r="D593" t="s">
        <v>708</v>
      </c>
      <c r="E593" t="s">
        <v>709</v>
      </c>
      <c r="F593" t="b">
        <v>0</v>
      </c>
    </row>
    <row r="594" spans="1:6">
      <c r="A594" t="s">
        <v>241</v>
      </c>
      <c r="B594" t="s">
        <v>283</v>
      </c>
      <c r="C594" t="s">
        <v>754</v>
      </c>
      <c r="D594" t="s">
        <v>708</v>
      </c>
      <c r="E594" t="s">
        <v>755</v>
      </c>
      <c r="F594" t="b">
        <v>0</v>
      </c>
    </row>
    <row r="595" spans="1:6">
      <c r="A595" t="s">
        <v>241</v>
      </c>
      <c r="B595" t="s">
        <v>283</v>
      </c>
      <c r="C595" t="s">
        <v>756</v>
      </c>
      <c r="D595" t="s">
        <v>708</v>
      </c>
      <c r="E595" t="s">
        <v>717</v>
      </c>
      <c r="F595" t="b">
        <v>0</v>
      </c>
    </row>
    <row r="596" spans="1:6">
      <c r="A596" t="s">
        <v>241</v>
      </c>
      <c r="B596" t="s">
        <v>296</v>
      </c>
      <c r="C596" t="s">
        <v>757</v>
      </c>
      <c r="D596" t="s">
        <v>708</v>
      </c>
      <c r="F596" t="b">
        <v>0</v>
      </c>
    </row>
    <row r="597" spans="1:6">
      <c r="A597" t="s">
        <v>241</v>
      </c>
      <c r="B597" t="s">
        <v>296</v>
      </c>
      <c r="C597" t="s">
        <v>758</v>
      </c>
      <c r="D597" t="s">
        <v>708</v>
      </c>
      <c r="F597" t="b">
        <v>0</v>
      </c>
    </row>
    <row r="598" spans="1:6">
      <c r="A598" t="s">
        <v>241</v>
      </c>
      <c r="B598" t="s">
        <v>301</v>
      </c>
      <c r="C598" t="s">
        <v>759</v>
      </c>
      <c r="D598" t="s">
        <v>708</v>
      </c>
      <c r="F598" t="b">
        <v>0</v>
      </c>
    </row>
    <row r="599" spans="1:6">
      <c r="A599" t="s">
        <v>241</v>
      </c>
      <c r="B599" t="s">
        <v>301</v>
      </c>
      <c r="C599" t="s">
        <v>760</v>
      </c>
      <c r="D599" t="s">
        <v>708</v>
      </c>
      <c r="F599" t="b">
        <v>0</v>
      </c>
    </row>
    <row r="600" spans="1:6">
      <c r="A600" t="s">
        <v>241</v>
      </c>
      <c r="B600" t="s">
        <v>301</v>
      </c>
      <c r="C600" t="s">
        <v>761</v>
      </c>
      <c r="D600" t="s">
        <v>708</v>
      </c>
      <c r="E600" t="s">
        <v>762</v>
      </c>
      <c r="F600" t="b">
        <v>0</v>
      </c>
    </row>
    <row r="601" spans="1:6">
      <c r="A601" t="s">
        <v>241</v>
      </c>
      <c r="B601" t="s">
        <v>301</v>
      </c>
      <c r="C601" t="s">
        <v>763</v>
      </c>
      <c r="D601" t="s">
        <v>708</v>
      </c>
      <c r="F601" t="b">
        <v>0</v>
      </c>
    </row>
    <row r="602" spans="1:6">
      <c r="A602" t="s">
        <v>241</v>
      </c>
      <c r="B602" t="s">
        <v>301</v>
      </c>
      <c r="C602" t="s">
        <v>764</v>
      </c>
      <c r="D602" t="s">
        <v>708</v>
      </c>
      <c r="F602" t="b">
        <v>0</v>
      </c>
    </row>
    <row r="603" spans="1:6">
      <c r="A603" t="s">
        <v>241</v>
      </c>
      <c r="B603" t="s">
        <v>301</v>
      </c>
      <c r="C603" t="s">
        <v>765</v>
      </c>
      <c r="D603" t="s">
        <v>708</v>
      </c>
      <c r="F603" t="b">
        <v>0</v>
      </c>
    </row>
    <row r="604" spans="1:6">
      <c r="A604" t="s">
        <v>241</v>
      </c>
      <c r="B604" t="s">
        <v>301</v>
      </c>
      <c r="C604" t="s">
        <v>766</v>
      </c>
      <c r="D604" t="s">
        <v>708</v>
      </c>
      <c r="E604" t="s">
        <v>709</v>
      </c>
      <c r="F604" t="b">
        <v>0</v>
      </c>
    </row>
    <row r="605" spans="1:6">
      <c r="A605" t="s">
        <v>241</v>
      </c>
      <c r="B605" t="s">
        <v>301</v>
      </c>
      <c r="C605" t="s">
        <v>767</v>
      </c>
      <c r="D605" t="s">
        <v>708</v>
      </c>
      <c r="F605" t="b">
        <v>1</v>
      </c>
    </row>
    <row r="606" spans="1:6">
      <c r="A606" t="s">
        <v>241</v>
      </c>
      <c r="B606" t="s">
        <v>301</v>
      </c>
      <c r="C606" t="s">
        <v>768</v>
      </c>
      <c r="D606" t="s">
        <v>708</v>
      </c>
      <c r="E606" t="s">
        <v>762</v>
      </c>
      <c r="F606" t="b">
        <v>0</v>
      </c>
    </row>
    <row r="607" spans="1:6">
      <c r="A607" t="s">
        <v>241</v>
      </c>
      <c r="B607" t="s">
        <v>301</v>
      </c>
      <c r="C607" t="s">
        <v>769</v>
      </c>
      <c r="D607" t="s">
        <v>708</v>
      </c>
      <c r="E607" t="s">
        <v>303</v>
      </c>
      <c r="F607" t="b">
        <v>1</v>
      </c>
    </row>
    <row r="608" spans="1:6">
      <c r="A608" t="s">
        <v>241</v>
      </c>
      <c r="B608" t="s">
        <v>301</v>
      </c>
      <c r="C608" t="s">
        <v>770</v>
      </c>
      <c r="D608" t="s">
        <v>708</v>
      </c>
      <c r="F608" t="b">
        <v>0</v>
      </c>
    </row>
    <row r="609" spans="1:6">
      <c r="A609" t="s">
        <v>241</v>
      </c>
      <c r="B609" t="s">
        <v>301</v>
      </c>
      <c r="C609" t="s">
        <v>771</v>
      </c>
      <c r="D609" t="s">
        <v>708</v>
      </c>
      <c r="E609" t="s">
        <v>709</v>
      </c>
      <c r="F609" t="b">
        <v>0</v>
      </c>
    </row>
    <row r="610" spans="1:6">
      <c r="A610" t="s">
        <v>241</v>
      </c>
      <c r="B610" t="s">
        <v>301</v>
      </c>
      <c r="C610" t="s">
        <v>768</v>
      </c>
      <c r="D610" t="s">
        <v>708</v>
      </c>
      <c r="F610" t="b">
        <v>0</v>
      </c>
    </row>
    <row r="611" spans="1:6">
      <c r="A611" t="s">
        <v>241</v>
      </c>
      <c r="B611" t="s">
        <v>301</v>
      </c>
      <c r="C611" t="s">
        <v>772</v>
      </c>
      <c r="D611" t="s">
        <v>708</v>
      </c>
      <c r="F611" t="b">
        <v>0</v>
      </c>
    </row>
    <row r="612" spans="1:6">
      <c r="A612" t="s">
        <v>241</v>
      </c>
      <c r="B612" t="s">
        <v>76</v>
      </c>
      <c r="C612" t="s">
        <v>773</v>
      </c>
      <c r="D612" t="s">
        <v>708</v>
      </c>
      <c r="E612" t="s">
        <v>762</v>
      </c>
      <c r="F612" t="b">
        <v>0</v>
      </c>
    </row>
    <row r="613" spans="1:6">
      <c r="A613" t="s">
        <v>241</v>
      </c>
      <c r="B613" t="s">
        <v>76</v>
      </c>
      <c r="C613" t="s">
        <v>774</v>
      </c>
      <c r="D613" t="s">
        <v>708</v>
      </c>
      <c r="E613" t="s">
        <v>734</v>
      </c>
      <c r="F613" t="b">
        <v>0</v>
      </c>
    </row>
    <row r="614" spans="1:6">
      <c r="A614" t="s">
        <v>241</v>
      </c>
      <c r="B614" t="s">
        <v>76</v>
      </c>
      <c r="C614" t="s">
        <v>775</v>
      </c>
      <c r="D614" t="s">
        <v>708</v>
      </c>
      <c r="E614" t="s">
        <v>712</v>
      </c>
      <c r="F614" t="b">
        <v>0</v>
      </c>
    </row>
    <row r="615" spans="1:6">
      <c r="A615" t="s">
        <v>241</v>
      </c>
      <c r="B615" t="s">
        <v>76</v>
      </c>
      <c r="C615" t="s">
        <v>776</v>
      </c>
      <c r="D615" t="s">
        <v>708</v>
      </c>
      <c r="F615" t="b">
        <v>0</v>
      </c>
    </row>
    <row r="616" spans="1:6">
      <c r="A616" t="s">
        <v>241</v>
      </c>
      <c r="B616" t="s">
        <v>76</v>
      </c>
      <c r="C616" t="s">
        <v>777</v>
      </c>
      <c r="D616" t="s">
        <v>708</v>
      </c>
      <c r="E616" t="s">
        <v>778</v>
      </c>
      <c r="F616" t="b">
        <v>0</v>
      </c>
    </row>
    <row r="617" spans="1:6">
      <c r="A617" t="s">
        <v>241</v>
      </c>
      <c r="B617" t="s">
        <v>76</v>
      </c>
      <c r="C617" t="s">
        <v>779</v>
      </c>
      <c r="D617" t="s">
        <v>708</v>
      </c>
      <c r="F617" t="b">
        <v>0</v>
      </c>
    </row>
    <row r="618" spans="1:6">
      <c r="A618" t="s">
        <v>241</v>
      </c>
      <c r="B618" t="s">
        <v>76</v>
      </c>
      <c r="C618" t="s">
        <v>780</v>
      </c>
      <c r="D618" t="s">
        <v>708</v>
      </c>
      <c r="E618" t="s">
        <v>778</v>
      </c>
      <c r="F618" t="b">
        <v>0</v>
      </c>
    </row>
    <row r="619" spans="1:6">
      <c r="A619" t="s">
        <v>241</v>
      </c>
      <c r="B619" t="s">
        <v>76</v>
      </c>
      <c r="C619" t="s">
        <v>781</v>
      </c>
      <c r="D619" t="s">
        <v>708</v>
      </c>
      <c r="E619" t="s">
        <v>782</v>
      </c>
      <c r="F619" t="b">
        <v>0</v>
      </c>
    </row>
    <row r="620" spans="1:6">
      <c r="A620" t="s">
        <v>241</v>
      </c>
      <c r="B620" t="s">
        <v>76</v>
      </c>
      <c r="C620" t="s">
        <v>783</v>
      </c>
      <c r="D620" t="s">
        <v>708</v>
      </c>
      <c r="F620" t="b">
        <v>1</v>
      </c>
    </row>
    <row r="621" spans="1:6">
      <c r="A621" t="s">
        <v>241</v>
      </c>
      <c r="B621" t="s">
        <v>76</v>
      </c>
      <c r="C621" t="s">
        <v>784</v>
      </c>
      <c r="D621" t="s">
        <v>708</v>
      </c>
      <c r="F621" t="b">
        <v>0</v>
      </c>
    </row>
    <row r="622" spans="1:6">
      <c r="A622" t="s">
        <v>241</v>
      </c>
      <c r="B622" t="s">
        <v>76</v>
      </c>
      <c r="C622" t="s">
        <v>785</v>
      </c>
      <c r="D622" t="s">
        <v>708</v>
      </c>
      <c r="F622" t="b">
        <v>0</v>
      </c>
    </row>
    <row r="623" spans="1:6">
      <c r="A623" t="s">
        <v>241</v>
      </c>
      <c r="B623" t="s">
        <v>76</v>
      </c>
      <c r="C623" t="s">
        <v>786</v>
      </c>
      <c r="D623" t="s">
        <v>708</v>
      </c>
      <c r="E623" t="s">
        <v>762</v>
      </c>
      <c r="F623" t="b">
        <v>0</v>
      </c>
    </row>
    <row r="624" spans="1:6">
      <c r="A624" t="s">
        <v>241</v>
      </c>
      <c r="B624" t="s">
        <v>76</v>
      </c>
      <c r="C624" t="s">
        <v>787</v>
      </c>
      <c r="D624" t="s">
        <v>708</v>
      </c>
      <c r="E624" t="s">
        <v>714</v>
      </c>
      <c r="F624" t="b">
        <v>0</v>
      </c>
    </row>
    <row r="625" spans="1:6">
      <c r="A625" t="s">
        <v>241</v>
      </c>
      <c r="B625" t="s">
        <v>76</v>
      </c>
      <c r="C625" t="s">
        <v>788</v>
      </c>
      <c r="D625" t="s">
        <v>708</v>
      </c>
      <c r="E625" t="s">
        <v>712</v>
      </c>
      <c r="F625" t="b">
        <v>0</v>
      </c>
    </row>
    <row r="626" spans="1:6">
      <c r="A626" t="s">
        <v>241</v>
      </c>
      <c r="B626" t="s">
        <v>76</v>
      </c>
      <c r="C626" t="s">
        <v>789</v>
      </c>
      <c r="D626" t="s">
        <v>708</v>
      </c>
      <c r="F626" t="b">
        <v>0</v>
      </c>
    </row>
    <row r="627" spans="1:6">
      <c r="A627" t="s">
        <v>241</v>
      </c>
      <c r="B627" t="s">
        <v>76</v>
      </c>
      <c r="C627" t="s">
        <v>790</v>
      </c>
      <c r="D627" t="s">
        <v>708</v>
      </c>
      <c r="E627" t="s">
        <v>745</v>
      </c>
      <c r="F627" t="b">
        <v>0</v>
      </c>
    </row>
    <row r="628" spans="1:6">
      <c r="A628" t="s">
        <v>241</v>
      </c>
      <c r="B628" t="s">
        <v>76</v>
      </c>
      <c r="C628" t="s">
        <v>791</v>
      </c>
      <c r="D628" t="s">
        <v>708</v>
      </c>
      <c r="F628" t="b">
        <v>0</v>
      </c>
    </row>
    <row r="629" spans="1:6">
      <c r="A629" t="s">
        <v>241</v>
      </c>
      <c r="B629" t="s">
        <v>76</v>
      </c>
      <c r="C629" t="s">
        <v>792</v>
      </c>
      <c r="D629" t="s">
        <v>708</v>
      </c>
      <c r="E629" t="s">
        <v>793</v>
      </c>
      <c r="F629" t="b">
        <v>0</v>
      </c>
    </row>
    <row r="630" spans="1:6">
      <c r="A630" t="s">
        <v>241</v>
      </c>
      <c r="B630" t="s">
        <v>76</v>
      </c>
      <c r="C630" t="s">
        <v>794</v>
      </c>
      <c r="D630" t="s">
        <v>708</v>
      </c>
      <c r="F630" t="b">
        <v>0</v>
      </c>
    </row>
    <row r="631" spans="1:6">
      <c r="A631" t="s">
        <v>242</v>
      </c>
      <c r="B631" t="s">
        <v>80</v>
      </c>
      <c r="C631" t="s">
        <v>795</v>
      </c>
      <c r="D631" t="s">
        <v>796</v>
      </c>
      <c r="F631" t="b">
        <v>0</v>
      </c>
    </row>
    <row r="632" spans="1:6">
      <c r="A632" t="s">
        <v>242</v>
      </c>
      <c r="B632" t="s">
        <v>61</v>
      </c>
      <c r="C632" t="s">
        <v>797</v>
      </c>
      <c r="D632" t="s">
        <v>798</v>
      </c>
      <c r="E632" t="s">
        <v>799</v>
      </c>
      <c r="F632" t="b">
        <v>0</v>
      </c>
    </row>
    <row r="633" spans="1:6">
      <c r="A633" t="s">
        <v>242</v>
      </c>
      <c r="B633" t="s">
        <v>61</v>
      </c>
      <c r="C633" t="s">
        <v>800</v>
      </c>
      <c r="D633" t="s">
        <v>798</v>
      </c>
      <c r="E633" t="s">
        <v>801</v>
      </c>
      <c r="F633" t="b">
        <v>0</v>
      </c>
    </row>
    <row r="634" spans="1:6">
      <c r="A634" t="s">
        <v>242</v>
      </c>
      <c r="B634" t="s">
        <v>73</v>
      </c>
      <c r="C634" t="s">
        <v>802</v>
      </c>
      <c r="D634" t="s">
        <v>798</v>
      </c>
      <c r="E634" t="s">
        <v>803</v>
      </c>
      <c r="F634" t="b">
        <v>0</v>
      </c>
    </row>
    <row r="635" spans="1:6">
      <c r="A635" t="s">
        <v>242</v>
      </c>
      <c r="B635" t="s">
        <v>278</v>
      </c>
      <c r="C635" t="s">
        <v>804</v>
      </c>
      <c r="D635" t="s">
        <v>798</v>
      </c>
      <c r="E635" t="s">
        <v>805</v>
      </c>
      <c r="F635" t="b">
        <v>0</v>
      </c>
    </row>
    <row r="636" spans="1:6">
      <c r="A636" t="s">
        <v>242</v>
      </c>
      <c r="B636" t="s">
        <v>278</v>
      </c>
      <c r="C636" t="s">
        <v>797</v>
      </c>
      <c r="D636" t="s">
        <v>798</v>
      </c>
      <c r="E636" t="s">
        <v>799</v>
      </c>
      <c r="F636" t="b">
        <v>0</v>
      </c>
    </row>
    <row r="637" spans="1:6">
      <c r="A637" t="s">
        <v>242</v>
      </c>
      <c r="B637" t="s">
        <v>296</v>
      </c>
      <c r="C637" t="s">
        <v>806</v>
      </c>
      <c r="D637" t="s">
        <v>798</v>
      </c>
      <c r="F637" t="b">
        <v>0</v>
      </c>
    </row>
    <row r="638" spans="1:6">
      <c r="A638" t="s">
        <v>242</v>
      </c>
      <c r="B638" t="s">
        <v>301</v>
      </c>
      <c r="C638" t="s">
        <v>807</v>
      </c>
      <c r="D638" t="s">
        <v>798</v>
      </c>
      <c r="F638" t="b">
        <v>0</v>
      </c>
    </row>
    <row r="639" spans="1:6">
      <c r="A639" t="s">
        <v>242</v>
      </c>
      <c r="B639" t="s">
        <v>76</v>
      </c>
      <c r="C639" t="s">
        <v>808</v>
      </c>
      <c r="D639" t="s">
        <v>798</v>
      </c>
      <c r="F639" t="b">
        <v>0</v>
      </c>
    </row>
  </sheetData>
  <conditionalFormatting sqref="L5:O14">
    <cfRule type="colorScale" priority="1">
      <colorScale>
        <cfvo type="min" val="0"/>
        <cfvo type="num" val="0"/>
        <cfvo type="max" val="0"/>
        <color rgb="FF2A78D6"/>
        <color rgb="FFF0EFEC"/>
        <color rgb="FFE34948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/>
  </sheetViews>
  <sheetFormatPr defaultRowHeight="15"/>
  <cols>
    <col min="1" max="1" width="60.7109375" customWidth="1"/>
    <col min="2" max="3" width="11.7109375" customWidth="1"/>
  </cols>
  <sheetData>
    <row r="1" spans="1:3">
      <c r="A1" s="1" t="s">
        <v>809</v>
      </c>
    </row>
    <row r="2" spans="1:3">
      <c r="A2" s="2" t="s">
        <v>810</v>
      </c>
    </row>
    <row r="4" spans="1:3" ht="32" customHeight="1">
      <c r="A4" s="9" t="s">
        <v>811</v>
      </c>
      <c r="B4" s="9" t="s">
        <v>812</v>
      </c>
      <c r="C4" s="9" t="s">
        <v>813</v>
      </c>
    </row>
    <row r="5" spans="1:3">
      <c r="A5" t="s">
        <v>814</v>
      </c>
      <c r="B5" t="s">
        <v>815</v>
      </c>
      <c r="C5" s="10">
        <v>192646</v>
      </c>
    </row>
    <row r="6" spans="1:3">
      <c r="A6" t="s">
        <v>816</v>
      </c>
      <c r="B6" t="s">
        <v>817</v>
      </c>
      <c r="C6" s="10">
        <v>76798210</v>
      </c>
    </row>
    <row r="7" spans="1:3">
      <c r="A7" t="s">
        <v>818</v>
      </c>
      <c r="B7" t="s">
        <v>819</v>
      </c>
      <c r="C7" s="10">
        <v>188245</v>
      </c>
    </row>
    <row r="8" spans="1:3">
      <c r="A8" t="s">
        <v>820</v>
      </c>
      <c r="B8" t="s">
        <v>821</v>
      </c>
      <c r="C8" s="10">
        <v>76548620</v>
      </c>
    </row>
    <row r="9" spans="1:3">
      <c r="A9" t="s">
        <v>822</v>
      </c>
      <c r="B9" t="s">
        <v>821</v>
      </c>
      <c r="C9" s="10">
        <v>75943353</v>
      </c>
    </row>
    <row r="10" spans="1:3">
      <c r="A10" t="s">
        <v>823</v>
      </c>
      <c r="B10" t="s">
        <v>821</v>
      </c>
      <c r="C10" s="10">
        <v>75911849</v>
      </c>
    </row>
    <row r="11" spans="1:3">
      <c r="A11" t="s">
        <v>824</v>
      </c>
      <c r="B11" t="s">
        <v>821</v>
      </c>
      <c r="C11" s="10">
        <v>123329</v>
      </c>
    </row>
    <row r="12" spans="1:3">
      <c r="A12" t="s">
        <v>825</v>
      </c>
      <c r="B12" t="s">
        <v>821</v>
      </c>
      <c r="C12" s="10">
        <v>2831693</v>
      </c>
    </row>
    <row r="13" spans="1:3">
      <c r="A13" t="s">
        <v>826</v>
      </c>
      <c r="B13" t="s">
        <v>827</v>
      </c>
      <c r="C13" s="10">
        <v>64450734</v>
      </c>
    </row>
    <row r="14" spans="1:3">
      <c r="A14" t="s">
        <v>828</v>
      </c>
      <c r="B14" t="s">
        <v>829</v>
      </c>
      <c r="C14" s="10">
        <v>594899</v>
      </c>
    </row>
    <row r="15" spans="1:3">
      <c r="A15" t="s">
        <v>830</v>
      </c>
      <c r="B15" t="s">
        <v>829</v>
      </c>
      <c r="C15" s="10">
        <v>384388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Dashboard</vt:lpstr>
      <vt:lpstr>Coverage</vt:lpstr>
      <vt:lpstr>Banner_Index</vt:lpstr>
      <vt:lpstr>Identical_Gaps</vt:lpstr>
      <vt:lpstr>Loblaw_Siblings</vt:lpstr>
      <vt:lpstr>Synchronisation</vt:lpstr>
      <vt:lpstr>Lead_Lag</vt:lpstr>
      <vt:lpstr>Freeze_Test</vt:lpstr>
      <vt:lpstr>Promotions</vt:lpstr>
      <vt:lpstr>Brand_Architecture</vt:lpstr>
      <vt:lpstr>Inflation</vt:lpstr>
      <vt:lpstr>StatCan_CPI</vt:lpstr>
      <vt:lpstr>KVI_Prices</vt:lpstr>
      <vt:lpstr>Cleaning_Log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2026-10-13T04:48:40Z</dcterms:created>
  <dcterms:modified xsi:type="dcterms:W3CDTF">2026-10-13T04:48:40Z</dcterms:modified>
</cp:coreProperties>
</file>